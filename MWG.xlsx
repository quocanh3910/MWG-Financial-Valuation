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CF Model\"/>
    </mc:Choice>
  </mc:AlternateContent>
  <xr:revisionPtr revIDLastSave="0" documentId="13_ncr:1_{ADA23331-311C-4A98-8712-36CD3D945D1A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Cover Page" sheetId="8" r:id="rId1"/>
    <sheet name="Executive Summary" sheetId="9" r:id="rId2"/>
    <sheet name="BS" sheetId="1" r:id="rId3"/>
    <sheet name="IS" sheetId="3" r:id="rId4"/>
    <sheet name="CF" sheetId="4" r:id="rId5"/>
    <sheet name="Breakdown by Segments" sheetId="7" r:id="rId6"/>
    <sheet name="DCF Model" sheetId="2" r:id="rId7"/>
    <sheet name="WACC" sheetId="5" r:id="rId8"/>
    <sheet name="Competitor Analysis" sheetId="6" r:id="rId9"/>
  </sheets>
  <calcPr calcId="191029"/>
</workbook>
</file>

<file path=xl/calcChain.xml><?xml version="1.0" encoding="utf-8"?>
<calcChain xmlns="http://schemas.openxmlformats.org/spreadsheetml/2006/main">
  <c r="D57" i="2" l="1" a="1"/>
  <c r="D57" i="2" s="1"/>
  <c r="D58" i="2" s="1"/>
  <c r="C99" i="2"/>
  <c r="C98" i="2" s="1"/>
  <c r="C97" i="2" s="1"/>
  <c r="C96" i="2" s="1"/>
  <c r="C101" i="2"/>
  <c r="C102" i="2" s="1"/>
  <c r="C103" i="2" s="1"/>
  <c r="C104" i="2" s="1"/>
  <c r="C105" i="2" s="1"/>
  <c r="P87" i="2"/>
  <c r="L81" i="2"/>
  <c r="C7" i="2"/>
  <c r="M81" i="2" s="1"/>
  <c r="N81" i="2" s="1"/>
  <c r="O81" i="2" s="1"/>
  <c r="P81" i="2" s="1"/>
  <c r="E36" i="9" a="1"/>
  <c r="K36" i="9" s="1"/>
  <c r="E36" i="9"/>
  <c r="F36" i="9"/>
  <c r="G36" i="9"/>
  <c r="H36" i="9"/>
  <c r="I36" i="9"/>
  <c r="J36" i="9"/>
  <c r="E22" i="9" a="1"/>
  <c r="E22" i="9" s="1"/>
  <c r="G22" i="9"/>
  <c r="H22" i="9"/>
  <c r="I22" i="9"/>
  <c r="J22" i="9"/>
  <c r="K22" i="9"/>
  <c r="E8" i="9" a="1"/>
  <c r="E8" i="9" s="1"/>
  <c r="E13" i="7"/>
  <c r="F13" i="7"/>
  <c r="E12" i="7"/>
  <c r="F12" i="7"/>
  <c r="E11" i="7"/>
  <c r="F11" i="7"/>
  <c r="D10" i="7"/>
  <c r="E10" i="7"/>
  <c r="F10" i="7"/>
  <c r="E9" i="7"/>
  <c r="D9" i="7"/>
  <c r="C9" i="7"/>
  <c r="B9" i="7"/>
  <c r="F9" i="7"/>
  <c r="F8" i="7"/>
  <c r="F6" i="7"/>
  <c r="F7" i="7"/>
  <c r="D33" i="2" a="1"/>
  <c r="D33" i="2" s="1"/>
  <c r="F20" i="7"/>
  <c r="F19" i="7"/>
  <c r="D13" i="7"/>
  <c r="C13" i="7"/>
  <c r="B13" i="7"/>
  <c r="F26" i="7"/>
  <c r="E26" i="7"/>
  <c r="F25" i="7"/>
  <c r="E25" i="7"/>
  <c r="E24" i="7"/>
  <c r="F24" i="7"/>
  <c r="F23" i="7"/>
  <c r="E21" i="7"/>
  <c r="E22" i="7"/>
  <c r="F27" i="2"/>
  <c r="G27" i="2"/>
  <c r="H27" i="2"/>
  <c r="I27" i="2"/>
  <c r="J27" i="2"/>
  <c r="E27" i="2"/>
  <c r="K27" i="2" s="1"/>
  <c r="F25" i="2"/>
  <c r="G25" i="2"/>
  <c r="H25" i="2"/>
  <c r="I25" i="2"/>
  <c r="J25" i="2"/>
  <c r="E25" i="2"/>
  <c r="F23" i="2"/>
  <c r="G23" i="2"/>
  <c r="H23" i="2"/>
  <c r="I23" i="2"/>
  <c r="J23" i="2"/>
  <c r="E23" i="2"/>
  <c r="K23" i="2" s="1"/>
  <c r="D12" i="7"/>
  <c r="C12" i="7"/>
  <c r="B12" i="7"/>
  <c r="D11" i="7"/>
  <c r="C11" i="7"/>
  <c r="B11" i="7"/>
  <c r="B10" i="7"/>
  <c r="C10" i="7"/>
  <c r="D8" i="7"/>
  <c r="B8" i="7"/>
  <c r="C8" i="7"/>
  <c r="D7" i="7"/>
  <c r="C7" i="7"/>
  <c r="B7" i="7"/>
  <c r="D6" i="7"/>
  <c r="B6" i="7"/>
  <c r="C6" i="7"/>
  <c r="C17" i="5"/>
  <c r="C12" i="5"/>
  <c r="C13" i="5"/>
  <c r="C11" i="5"/>
  <c r="D71" i="2"/>
  <c r="E71" i="2"/>
  <c r="F71" i="2"/>
  <c r="G71" i="2"/>
  <c r="H71" i="2"/>
  <c r="I71" i="2"/>
  <c r="J71" i="2"/>
  <c r="D68" i="2" a="1"/>
  <c r="I68" i="2" s="1"/>
  <c r="H6" i="6"/>
  <c r="F19" i="2"/>
  <c r="L19" i="2"/>
  <c r="C19" i="2" s="1"/>
  <c r="E95" i="2"/>
  <c r="F95" i="2" s="1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D21" i="6"/>
  <c r="P86" i="2"/>
  <c r="C15" i="5"/>
  <c r="C14" i="5"/>
  <c r="O9" i="4"/>
  <c r="O4" i="4"/>
  <c r="O5" i="4"/>
  <c r="O6" i="4"/>
  <c r="O7" i="4"/>
  <c r="O8" i="4"/>
  <c r="O10" i="4"/>
  <c r="O11" i="4"/>
  <c r="O15" i="4"/>
  <c r="O12" i="4"/>
  <c r="O14" i="4"/>
  <c r="O13" i="4"/>
  <c r="D65" i="2" a="1"/>
  <c r="D65" i="2" s="1"/>
  <c r="D48" i="2" a="1"/>
  <c r="D48" i="2" s="1"/>
  <c r="D42" i="2" a="1"/>
  <c r="D42" i="2" s="1"/>
  <c r="D39" i="2" a="1"/>
  <c r="D39" i="2" s="1"/>
  <c r="D30" i="2" a="1"/>
  <c r="D30" i="2" s="1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J57" i="2" l="1"/>
  <c r="I57" i="2"/>
  <c r="H57" i="2"/>
  <c r="G57" i="2"/>
  <c r="F57" i="2"/>
  <c r="E57" i="2"/>
  <c r="E58" i="2" s="1"/>
  <c r="K25" i="2"/>
  <c r="K24" i="2" s="1"/>
  <c r="F22" i="9"/>
  <c r="J8" i="9"/>
  <c r="K8" i="9"/>
  <c r="I8" i="9"/>
  <c r="H8" i="9"/>
  <c r="F8" i="9"/>
  <c r="G8" i="9"/>
  <c r="L27" i="2"/>
  <c r="J33" i="2"/>
  <c r="I33" i="2"/>
  <c r="H33" i="2"/>
  <c r="G33" i="2"/>
  <c r="F33" i="2"/>
  <c r="E33" i="2"/>
  <c r="E34" i="2" s="1"/>
  <c r="K22" i="2"/>
  <c r="C25" i="5"/>
  <c r="I18" i="2" s="1"/>
  <c r="F18" i="2" s="1"/>
  <c r="E68" i="2"/>
  <c r="F68" i="2"/>
  <c r="G68" i="2"/>
  <c r="J68" i="2"/>
  <c r="D68" i="2"/>
  <c r="D69" i="2" s="1"/>
  <c r="H68" i="2"/>
  <c r="H39" i="2"/>
  <c r="J65" i="2"/>
  <c r="D66" i="2"/>
  <c r="I65" i="2"/>
  <c r="J30" i="2"/>
  <c r="I30" i="2"/>
  <c r="D72" i="2"/>
  <c r="J39" i="2"/>
  <c r="I39" i="2"/>
  <c r="F42" i="2"/>
  <c r="J48" i="2"/>
  <c r="H65" i="2"/>
  <c r="G65" i="2"/>
  <c r="F65" i="2"/>
  <c r="E65" i="2"/>
  <c r="I48" i="2"/>
  <c r="H48" i="2"/>
  <c r="G48" i="2"/>
  <c r="F48" i="2"/>
  <c r="E48" i="2"/>
  <c r="D49" i="2"/>
  <c r="D51" i="2"/>
  <c r="J42" i="2"/>
  <c r="I42" i="2"/>
  <c r="H42" i="2"/>
  <c r="G42" i="2"/>
  <c r="E42" i="2"/>
  <c r="G39" i="2"/>
  <c r="F39" i="2"/>
  <c r="E39" i="2"/>
  <c r="H30" i="2"/>
  <c r="H72" i="2" s="1"/>
  <c r="G30" i="2"/>
  <c r="G72" i="2" s="1"/>
  <c r="F30" i="2"/>
  <c r="F72" i="2" s="1"/>
  <c r="E30" i="2"/>
  <c r="E31" i="2" s="1"/>
  <c r="F37" i="9" s="1"/>
  <c r="D40" i="2"/>
  <c r="D43" i="2"/>
  <c r="H58" i="2" l="1"/>
  <c r="I58" i="2"/>
  <c r="F58" i="2"/>
  <c r="D52" i="2"/>
  <c r="E12" i="9" s="1"/>
  <c r="D60" i="2"/>
  <c r="D61" i="2" s="1"/>
  <c r="G58" i="2"/>
  <c r="J58" i="2"/>
  <c r="K58" i="2"/>
  <c r="F39" i="9"/>
  <c r="F25" i="9"/>
  <c r="F11" i="9"/>
  <c r="H25" i="9"/>
  <c r="H39" i="9"/>
  <c r="H11" i="9"/>
  <c r="G25" i="9"/>
  <c r="G39" i="9"/>
  <c r="G11" i="9"/>
  <c r="E38" i="9"/>
  <c r="E24" i="9"/>
  <c r="E40" i="9"/>
  <c r="E26" i="9"/>
  <c r="I25" i="9"/>
  <c r="I39" i="9"/>
  <c r="I11" i="9"/>
  <c r="J25" i="9"/>
  <c r="J39" i="9"/>
  <c r="J11" i="9"/>
  <c r="F9" i="9"/>
  <c r="F23" i="9"/>
  <c r="K25" i="9"/>
  <c r="K39" i="9"/>
  <c r="K11" i="9"/>
  <c r="M27" i="2"/>
  <c r="N27" i="2" s="1"/>
  <c r="O27" i="2" s="1"/>
  <c r="E10" i="9"/>
  <c r="G34" i="2"/>
  <c r="J34" i="2"/>
  <c r="I34" i="2"/>
  <c r="H34" i="2"/>
  <c r="F34" i="2"/>
  <c r="K26" i="2"/>
  <c r="L26" i="2" s="1"/>
  <c r="L25" i="2"/>
  <c r="L23" i="2"/>
  <c r="G40" i="2"/>
  <c r="G31" i="2"/>
  <c r="H37" i="9" s="1"/>
  <c r="H31" i="2"/>
  <c r="I37" i="9" s="1"/>
  <c r="J72" i="2"/>
  <c r="L18" i="2"/>
  <c r="C18" i="2" s="1"/>
  <c r="I72" i="2"/>
  <c r="J69" i="2"/>
  <c r="H69" i="2"/>
  <c r="I40" i="2"/>
  <c r="I31" i="2"/>
  <c r="J37" i="9" s="1"/>
  <c r="I69" i="2"/>
  <c r="J40" i="2"/>
  <c r="G43" i="2"/>
  <c r="F51" i="2"/>
  <c r="F60" i="2" s="1"/>
  <c r="F61" i="2" s="1"/>
  <c r="F49" i="2"/>
  <c r="F31" i="2"/>
  <c r="G37" i="9" s="1"/>
  <c r="F40" i="2"/>
  <c r="H66" i="2"/>
  <c r="E72" i="2"/>
  <c r="E66" i="2"/>
  <c r="F66" i="2"/>
  <c r="G66" i="2"/>
  <c r="J31" i="2"/>
  <c r="K37" i="9" s="1"/>
  <c r="F43" i="2"/>
  <c r="E69" i="2"/>
  <c r="I66" i="2"/>
  <c r="F69" i="2"/>
  <c r="G69" i="2"/>
  <c r="J66" i="2"/>
  <c r="E49" i="2"/>
  <c r="E51" i="2"/>
  <c r="E60" i="2" s="1"/>
  <c r="E61" i="2" s="1"/>
  <c r="G49" i="2"/>
  <c r="G51" i="2"/>
  <c r="G60" i="2" s="1"/>
  <c r="G61" i="2" s="1"/>
  <c r="H49" i="2"/>
  <c r="H51" i="2"/>
  <c r="H60" i="2" s="1"/>
  <c r="H61" i="2" s="1"/>
  <c r="I49" i="2"/>
  <c r="I51" i="2"/>
  <c r="I60" i="2" s="1"/>
  <c r="I61" i="2" s="1"/>
  <c r="J49" i="2"/>
  <c r="J51" i="2"/>
  <c r="J60" i="2" s="1"/>
  <c r="J61" i="2" s="1"/>
  <c r="J43" i="2"/>
  <c r="I43" i="2"/>
  <c r="E43" i="2"/>
  <c r="E40" i="2"/>
  <c r="H43" i="2"/>
  <c r="H40" i="2"/>
  <c r="K30" i="2" l="1"/>
  <c r="L58" i="2"/>
  <c r="J9" i="9"/>
  <c r="J23" i="9"/>
  <c r="F24" i="9"/>
  <c r="F38" i="9"/>
  <c r="H52" i="2"/>
  <c r="I13" i="9"/>
  <c r="I27" i="9"/>
  <c r="K10" i="9"/>
  <c r="K24" i="9"/>
  <c r="K38" i="9"/>
  <c r="G10" i="9"/>
  <c r="G24" i="9"/>
  <c r="G38" i="9"/>
  <c r="H9" i="9"/>
  <c r="H23" i="9"/>
  <c r="I52" i="2"/>
  <c r="J13" i="9"/>
  <c r="J27" i="9"/>
  <c r="J10" i="9"/>
  <c r="J24" i="9"/>
  <c r="J38" i="9"/>
  <c r="G52" i="2"/>
  <c r="H13" i="9"/>
  <c r="H27" i="9"/>
  <c r="E52" i="2"/>
  <c r="F27" i="9"/>
  <c r="F13" i="9"/>
  <c r="F52" i="2"/>
  <c r="G13" i="9"/>
  <c r="G27" i="9"/>
  <c r="M25" i="2"/>
  <c r="I9" i="9"/>
  <c r="I23" i="9"/>
  <c r="K9" i="9"/>
  <c r="K23" i="9"/>
  <c r="J52" i="2"/>
  <c r="K27" i="9"/>
  <c r="K13" i="9"/>
  <c r="M26" i="2"/>
  <c r="N26" i="2" s="1"/>
  <c r="H10" i="9"/>
  <c r="H24" i="9"/>
  <c r="H38" i="9"/>
  <c r="I10" i="9"/>
  <c r="I24" i="9"/>
  <c r="I38" i="9"/>
  <c r="G9" i="9"/>
  <c r="G23" i="9"/>
  <c r="P27" i="2"/>
  <c r="K45" i="2"/>
  <c r="K44" i="2" s="1"/>
  <c r="L38" i="9" s="1"/>
  <c r="F10" i="9"/>
  <c r="L24" i="2"/>
  <c r="L22" i="2"/>
  <c r="L30" i="2" s="1"/>
  <c r="M23" i="2"/>
  <c r="K72" i="2"/>
  <c r="L72" i="2" s="1"/>
  <c r="M72" i="2" s="1"/>
  <c r="K49" i="2"/>
  <c r="K40" i="2"/>
  <c r="L40" i="2" s="1"/>
  <c r="K66" i="2"/>
  <c r="K69" i="2"/>
  <c r="M58" i="2" l="1"/>
  <c r="L36" i="2"/>
  <c r="M9" i="9" s="1"/>
  <c r="L57" i="2"/>
  <c r="K36" i="2"/>
  <c r="K57" i="2"/>
  <c r="F12" i="9"/>
  <c r="F26" i="9"/>
  <c r="F40" i="9"/>
  <c r="F41" i="9" s="1"/>
  <c r="H12" i="9"/>
  <c r="H40" i="9"/>
  <c r="H26" i="9"/>
  <c r="I12" i="9"/>
  <c r="I40" i="9"/>
  <c r="I41" i="9" s="1"/>
  <c r="I26" i="9"/>
  <c r="N25" i="2"/>
  <c r="M24" i="2"/>
  <c r="K12" i="9"/>
  <c r="K26" i="9"/>
  <c r="K40" i="9"/>
  <c r="K46" i="2"/>
  <c r="L25" i="9" s="1"/>
  <c r="L10" i="9"/>
  <c r="J12" i="9"/>
  <c r="J26" i="9"/>
  <c r="J40" i="9"/>
  <c r="G12" i="9"/>
  <c r="G40" i="9"/>
  <c r="G41" i="9" s="1"/>
  <c r="G26" i="9"/>
  <c r="L11" i="9"/>
  <c r="L39" i="9"/>
  <c r="K43" i="2"/>
  <c r="L45" i="2" s="1"/>
  <c r="N23" i="2"/>
  <c r="M22" i="2"/>
  <c r="O26" i="2"/>
  <c r="P26" i="2" s="1"/>
  <c r="K37" i="2"/>
  <c r="K39" i="2"/>
  <c r="K68" i="2"/>
  <c r="K78" i="2" s="1"/>
  <c r="L66" i="2"/>
  <c r="K65" i="2"/>
  <c r="K77" i="2" s="1"/>
  <c r="L71" i="2"/>
  <c r="L79" i="2" s="1"/>
  <c r="L35" i="2"/>
  <c r="M37" i="9" s="1"/>
  <c r="L37" i="2"/>
  <c r="M23" i="9" s="1"/>
  <c r="L49" i="2"/>
  <c r="M49" i="2" s="1"/>
  <c r="K71" i="2"/>
  <c r="K79" i="2" s="1"/>
  <c r="N72" i="2"/>
  <c r="L69" i="2"/>
  <c r="M40" i="2"/>
  <c r="N40" i="2" s="1"/>
  <c r="O40" i="2" s="1"/>
  <c r="P40" i="2" s="1"/>
  <c r="K31" i="2" l="1"/>
  <c r="K33" i="2"/>
  <c r="L33" i="2" s="1"/>
  <c r="L9" i="9"/>
  <c r="K35" i="2"/>
  <c r="K41" i="9"/>
  <c r="N58" i="2"/>
  <c r="O58" i="2" s="1"/>
  <c r="N24" i="2"/>
  <c r="L24" i="9"/>
  <c r="J41" i="9"/>
  <c r="O25" i="2"/>
  <c r="H41" i="9"/>
  <c r="M30" i="2"/>
  <c r="L23" i="9"/>
  <c r="L22" i="9"/>
  <c r="M22" i="9" s="1"/>
  <c r="M10" i="9"/>
  <c r="M11" i="9"/>
  <c r="L46" i="2"/>
  <c r="K42" i="2"/>
  <c r="L44" i="2"/>
  <c r="M39" i="9" s="1"/>
  <c r="L31" i="2"/>
  <c r="L34" i="2"/>
  <c r="K34" i="2"/>
  <c r="N22" i="2"/>
  <c r="O23" i="2"/>
  <c r="P23" i="2" s="1"/>
  <c r="L39" i="2"/>
  <c r="M69" i="2"/>
  <c r="L68" i="2"/>
  <c r="M66" i="2"/>
  <c r="N66" i="2" s="1"/>
  <c r="O66" i="2" s="1"/>
  <c r="L65" i="2"/>
  <c r="L77" i="2" s="1"/>
  <c r="N49" i="2"/>
  <c r="O49" i="2" s="1"/>
  <c r="P49" i="2" s="1"/>
  <c r="O72" i="2"/>
  <c r="O24" i="2" l="1"/>
  <c r="P58" i="2"/>
  <c r="L37" i="9"/>
  <c r="L36" i="9"/>
  <c r="M36" i="2"/>
  <c r="M57" i="2"/>
  <c r="N30" i="2"/>
  <c r="N57" i="2" s="1"/>
  <c r="M36" i="9"/>
  <c r="N36" i="2"/>
  <c r="N31" i="2" s="1"/>
  <c r="P25" i="2"/>
  <c r="P24" i="2" s="1"/>
  <c r="M35" i="2"/>
  <c r="N37" i="9" s="1"/>
  <c r="K48" i="2"/>
  <c r="K54" i="2" s="1"/>
  <c r="K55" i="2" s="1"/>
  <c r="N37" i="2"/>
  <c r="O23" i="9" s="1"/>
  <c r="O9" i="9"/>
  <c r="M24" i="9"/>
  <c r="M25" i="9"/>
  <c r="L43" i="2"/>
  <c r="L42" i="2" s="1"/>
  <c r="L48" i="2" s="1"/>
  <c r="L54" i="2" s="1"/>
  <c r="M38" i="9"/>
  <c r="M71" i="2"/>
  <c r="M79" i="2" s="1"/>
  <c r="M34" i="2"/>
  <c r="L8" i="9"/>
  <c r="M8" i="9" s="1"/>
  <c r="M31" i="2"/>
  <c r="M68" i="2"/>
  <c r="M39" i="2"/>
  <c r="N35" i="2"/>
  <c r="O37" i="9" s="1"/>
  <c r="M65" i="2"/>
  <c r="M77" i="2" s="1"/>
  <c r="N69" i="2"/>
  <c r="O69" i="2" s="1"/>
  <c r="O22" i="2"/>
  <c r="O30" i="2" s="1"/>
  <c r="P66" i="2"/>
  <c r="L78" i="2"/>
  <c r="P72" i="2"/>
  <c r="O36" i="2" l="1"/>
  <c r="O57" i="2"/>
  <c r="N36" i="9"/>
  <c r="O36" i="9" s="1"/>
  <c r="M37" i="2"/>
  <c r="M33" i="2"/>
  <c r="N33" i="2" s="1"/>
  <c r="O33" i="2" s="1"/>
  <c r="N9" i="9"/>
  <c r="N34" i="2"/>
  <c r="M45" i="2"/>
  <c r="N10" i="9" s="1"/>
  <c r="K53" i="2"/>
  <c r="L41" i="9" s="1"/>
  <c r="L12" i="9"/>
  <c r="L13" i="9"/>
  <c r="O35" i="2"/>
  <c r="P37" i="9" s="1"/>
  <c r="P9" i="9"/>
  <c r="M12" i="9"/>
  <c r="M13" i="9"/>
  <c r="L26" i="9"/>
  <c r="L27" i="9"/>
  <c r="N8" i="9"/>
  <c r="N39" i="2"/>
  <c r="L53" i="2"/>
  <c r="L55" i="2"/>
  <c r="M27" i="9" s="1"/>
  <c r="N71" i="2"/>
  <c r="N79" i="2" s="1"/>
  <c r="N65" i="2"/>
  <c r="N77" i="2" s="1"/>
  <c r="P22" i="2"/>
  <c r="P30" i="2" s="1"/>
  <c r="N68" i="2"/>
  <c r="P69" i="2"/>
  <c r="O37" i="2"/>
  <c r="P23" i="9" s="1"/>
  <c r="M78" i="2"/>
  <c r="K52" i="2" l="1"/>
  <c r="K51" i="2" s="1"/>
  <c r="K60" i="2" s="1"/>
  <c r="K61" i="2" s="1"/>
  <c r="O8" i="9"/>
  <c r="P36" i="2"/>
  <c r="P37" i="2" s="1"/>
  <c r="Q23" i="9" s="1"/>
  <c r="P57" i="2"/>
  <c r="M44" i="2"/>
  <c r="N39" i="9" s="1"/>
  <c r="M46" i="2"/>
  <c r="M43" i="2" s="1"/>
  <c r="M42" i="2" s="1"/>
  <c r="N23" i="9"/>
  <c r="N22" i="9"/>
  <c r="O22" i="9" s="1"/>
  <c r="N11" i="9"/>
  <c r="L40" i="9"/>
  <c r="Q9" i="9"/>
  <c r="P35" i="2"/>
  <c r="Q37" i="9" s="1"/>
  <c r="O68" i="2"/>
  <c r="N24" i="9"/>
  <c r="P22" i="9"/>
  <c r="Q22" i="9" s="1"/>
  <c r="M40" i="9"/>
  <c r="M41" i="9"/>
  <c r="P39" i="2"/>
  <c r="O39" i="2"/>
  <c r="M26" i="9"/>
  <c r="O71" i="2"/>
  <c r="O79" i="2" s="1"/>
  <c r="L52" i="2"/>
  <c r="L51" i="2" s="1"/>
  <c r="M48" i="2"/>
  <c r="M54" i="2" s="1"/>
  <c r="O65" i="2"/>
  <c r="O77" i="2" s="1"/>
  <c r="O31" i="2"/>
  <c r="P36" i="9" s="1"/>
  <c r="O34" i="2"/>
  <c r="P31" i="2"/>
  <c r="P34" i="2"/>
  <c r="P33" i="2"/>
  <c r="N78" i="2"/>
  <c r="K76" i="2" l="1"/>
  <c r="K80" i="2" s="1"/>
  <c r="K82" i="2" s="1"/>
  <c r="N25" i="9"/>
  <c r="L76" i="2"/>
  <c r="L80" i="2" s="1"/>
  <c r="L82" i="2" s="1"/>
  <c r="L60" i="2"/>
  <c r="L61" i="2" s="1"/>
  <c r="N45" i="2"/>
  <c r="N46" i="2" s="1"/>
  <c r="O25" i="9" s="1"/>
  <c r="N38" i="9"/>
  <c r="Q36" i="9"/>
  <c r="P71" i="2"/>
  <c r="P79" i="2" s="1"/>
  <c r="P65" i="2"/>
  <c r="P77" i="2" s="1"/>
  <c r="P68" i="2"/>
  <c r="P78" i="2" s="1"/>
  <c r="N13" i="9"/>
  <c r="N12" i="9"/>
  <c r="O11" i="9"/>
  <c r="N44" i="2"/>
  <c r="O39" i="9" s="1"/>
  <c r="M53" i="2"/>
  <c r="M55" i="2"/>
  <c r="P8" i="9"/>
  <c r="Q8" i="9" s="1"/>
  <c r="O78" i="2"/>
  <c r="O10" i="9" l="1"/>
  <c r="N43" i="2"/>
  <c r="N42" i="2" s="1"/>
  <c r="O45" i="2"/>
  <c r="P10" i="9"/>
  <c r="P11" i="9"/>
  <c r="N27" i="9"/>
  <c r="N26" i="9"/>
  <c r="N40" i="9"/>
  <c r="N41" i="9"/>
  <c r="O38" i="9"/>
  <c r="O24" i="9"/>
  <c r="M52" i="2"/>
  <c r="M51" i="2" s="1"/>
  <c r="N48" i="2"/>
  <c r="N54" i="2" s="1"/>
  <c r="O46" i="2"/>
  <c r="O44" i="2"/>
  <c r="P39" i="9" s="1"/>
  <c r="M76" i="2" l="1"/>
  <c r="M80" i="2" s="1"/>
  <c r="M82" i="2" s="1"/>
  <c r="M60" i="2"/>
  <c r="M61" i="2" s="1"/>
  <c r="O13" i="9"/>
  <c r="O12" i="9"/>
  <c r="P24" i="9"/>
  <c r="P25" i="9"/>
  <c r="P38" i="9"/>
  <c r="N55" i="2"/>
  <c r="N53" i="2"/>
  <c r="N52" i="2"/>
  <c r="O43" i="2"/>
  <c r="P45" i="2" s="1"/>
  <c r="Q10" i="9" l="1"/>
  <c r="Q11" i="9"/>
  <c r="O40" i="9"/>
  <c r="O41" i="9"/>
  <c r="O27" i="9"/>
  <c r="O26" i="9"/>
  <c r="N51" i="2"/>
  <c r="O42" i="2"/>
  <c r="P44" i="2"/>
  <c r="Q39" i="9" s="1"/>
  <c r="P46" i="2"/>
  <c r="O48" i="2"/>
  <c r="N76" i="2" l="1"/>
  <c r="N80" i="2" s="1"/>
  <c r="N82" i="2" s="1"/>
  <c r="N60" i="2"/>
  <c r="N61" i="2" s="1"/>
  <c r="Q24" i="9"/>
  <c r="Q25" i="9"/>
  <c r="Q38" i="9"/>
  <c r="O54" i="2"/>
  <c r="P43" i="2"/>
  <c r="P13" i="9" l="1"/>
  <c r="P12" i="9"/>
  <c r="P42" i="2"/>
  <c r="P48" i="2" s="1"/>
  <c r="P54" i="2" s="1"/>
  <c r="O55" i="2"/>
  <c r="O53" i="2"/>
  <c r="O52" i="2" s="1"/>
  <c r="O51" i="2" s="1"/>
  <c r="O76" i="2" l="1"/>
  <c r="O80" i="2" s="1"/>
  <c r="O82" i="2" s="1"/>
  <c r="O60" i="2"/>
  <c r="O61" i="2" s="1"/>
  <c r="P40" i="9"/>
  <c r="P41" i="9"/>
  <c r="P27" i="9"/>
  <c r="P26" i="9"/>
  <c r="Q13" i="9"/>
  <c r="Q12" i="9"/>
  <c r="P55" i="2"/>
  <c r="P53" i="2"/>
  <c r="P52" i="2" l="1"/>
  <c r="P51" i="2" s="1"/>
  <c r="Q40" i="9"/>
  <c r="Q41" i="9"/>
  <c r="Q27" i="9"/>
  <c r="Q26" i="9"/>
  <c r="P76" i="2" l="1"/>
  <c r="P80" i="2" s="1"/>
  <c r="P82" i="2" s="1"/>
  <c r="P83" i="2" s="1"/>
  <c r="P84" i="2" s="1"/>
  <c r="P85" i="2" s="1"/>
  <c r="D16" i="6" s="1"/>
  <c r="P60" i="2"/>
  <c r="P61" i="2" s="1"/>
  <c r="P88" i="2" l="1"/>
  <c r="P89" i="2" l="1"/>
  <c r="D17" i="6"/>
  <c r="C95" i="2"/>
  <c r="C10" i="2" l="1"/>
  <c r="D19" i="6"/>
  <c r="C11" i="2" l="1"/>
  <c r="C12" i="2" s="1"/>
  <c r="D20" i="6"/>
</calcChain>
</file>

<file path=xl/sharedStrings.xml><?xml version="1.0" encoding="utf-8"?>
<sst xmlns="http://schemas.openxmlformats.org/spreadsheetml/2006/main" count="348" uniqueCount="242">
  <si>
    <t>ticker</t>
  </si>
  <si>
    <t>yearReport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</si>
  <si>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</si>
  <si>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</si>
  <si>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</si>
  <si>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</si>
  <si>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</si>
  <si>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</si>
  <si>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</si>
  <si>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</si>
  <si>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</si>
  <si>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</si>
  <si>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</si>
  <si>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</si>
  <si>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</si>
  <si>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</si>
  <si>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</si>
  <si>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</si>
  <si>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</si>
  <si>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</si>
  <si>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</si>
  <si>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</si>
  <si>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</si>
  <si>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</si>
  <si>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</si>
  <si>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</si>
  <si>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</si>
  <si>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</si>
  <si>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</si>
  <si>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</si>
  <si>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</si>
  <si>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</si>
  <si>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</si>
  <si>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</si>
  <si>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</si>
  <si>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receivables (Bn. VND)</t>
  </si>
  <si>
    <t>Long-term trade receivables (Bn. VND)</t>
  </si>
  <si>
    <t>MWG</t>
  </si>
  <si>
    <t>MWG DCF model</t>
  </si>
  <si>
    <t>OVERVIEW</t>
  </si>
  <si>
    <t>Company ticker</t>
  </si>
  <si>
    <t>Date</t>
  </si>
  <si>
    <t>Stock price</t>
  </si>
  <si>
    <t>Stock price forecast</t>
  </si>
  <si>
    <t>ASSUMPTION</t>
  </si>
  <si>
    <t>INCOME STATEMENT</t>
  </si>
  <si>
    <t>Revenue</t>
  </si>
  <si>
    <t>% growth</t>
  </si>
  <si>
    <t>EBIT</t>
  </si>
  <si>
    <t>% sales</t>
  </si>
  <si>
    <t>Taxes</t>
  </si>
  <si>
    <t>% Tax rate</t>
  </si>
  <si>
    <t>NOPAT</t>
  </si>
  <si>
    <t>%sales</t>
  </si>
  <si>
    <t>CASHFLOW STATEMENT</t>
  </si>
  <si>
    <t>Plus: D&amp;A</t>
  </si>
  <si>
    <t>Less: Capex</t>
  </si>
  <si>
    <t>Less: Change in WC</t>
  </si>
  <si>
    <t>Discounted Cash Flow</t>
  </si>
  <si>
    <t>EBIAT</t>
  </si>
  <si>
    <t>FCF</t>
  </si>
  <si>
    <t>Discount period</t>
  </si>
  <si>
    <t>Discounted FCF</t>
  </si>
  <si>
    <t>Terminal value (TV)</t>
  </si>
  <si>
    <t>Discounted TV</t>
  </si>
  <si>
    <t>Enterprise value</t>
  </si>
  <si>
    <t>Plus: Cash</t>
  </si>
  <si>
    <t>Less: Debt</t>
  </si>
  <si>
    <t>Equity value</t>
  </si>
  <si>
    <t>Dividend: Shares outstanding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</si>
  <si>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</si>
  <si>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</si>
  <si>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</si>
  <si>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</si>
  <si>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</si>
  <si>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</si>
  <si>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</si>
  <si>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</si>
  <si>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</si>
  <si>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</si>
  <si>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</si>
  <si>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</si>
  <si>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</si>
  <si>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</si>
  <si>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</si>
  <si>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</si>
  <si>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</si>
  <si>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</si>
  <si>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</si>
  <si>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</si>
  <si>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</si>
  <si>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</si>
  <si>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</si>
  <si>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</si>
  <si>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</si>
  <si>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Net Profit/Loss before tax</t>
  </si>
  <si>
    <t>Depreciation and Amortisation</t>
  </si>
  <si>
    <t>Provision for credit losses</t>
  </si>
  <si>
    <t>Unrealized foreign exchange gain/loss</t>
  </si>
  <si>
    <t>Profit/Loss from investing activities</t>
  </si>
  <si>
    <t>Interest Expense</t>
  </si>
  <si>
    <t>Operating profit before changes in working capital</t>
  </si>
  <si>
    <t>Increase/Decrease in receivables</t>
  </si>
  <si>
    <t>Increase/Decrease in inventories</t>
  </si>
  <si>
    <t>Increase/Decrease in payables</t>
  </si>
  <si>
    <t>Increase/Decrease in prepaid expenses</t>
  </si>
  <si>
    <t>Interest paid</t>
  </si>
  <si>
    <t>Business Income Tax paid</t>
  </si>
  <si>
    <t>Other payments on operating activities</t>
  </si>
  <si>
    <t>Net cash inflows/outflows from operating activities</t>
  </si>
  <si>
    <t>Purchase of fixed assets</t>
  </si>
  <si>
    <t>Proceeds from disposal of fixed assets</t>
  </si>
  <si>
    <t>Loans granted, purchases of debt instruments (Bn. VND)</t>
  </si>
  <si>
    <t>Collection of loans, proceeds from sales of debts instruments (Bn. VND)</t>
  </si>
  <si>
    <t>Investment in other entities</t>
  </si>
  <si>
    <t>Proceeds from divestment in other entities</t>
  </si>
  <si>
    <t>Gain on Dividend</t>
  </si>
  <si>
    <t>Net Cash Flows from Investing Activities</t>
  </si>
  <si>
    <t>Increase in charter captial</t>
  </si>
  <si>
    <t>Payments for share repurchases</t>
  </si>
  <si>
    <t>Proceeds from borrowings</t>
  </si>
  <si>
    <t>Repayment of borrowings</t>
  </si>
  <si>
    <t>Dividends paid</t>
  </si>
  <si>
    <t>Cash flows from financial activities</t>
  </si>
  <si>
    <t>Net increase/decrease in cash and cash equivalents</t>
  </si>
  <si>
    <t>Cash and cash equivalents</t>
  </si>
  <si>
    <t>Foreign exchange differences Adjustment</t>
  </si>
  <si>
    <t>Cash and Cash Equivalents at the end of period</t>
  </si>
  <si>
    <t>Changes in Working Capital</t>
  </si>
  <si>
    <t>Revenue g %</t>
  </si>
  <si>
    <t>Revenue g%</t>
  </si>
  <si>
    <t>WACC</t>
  </si>
  <si>
    <t>Terminal Growth Rate</t>
  </si>
  <si>
    <t>Scenario</t>
  </si>
  <si>
    <t>Case selected</t>
  </si>
  <si>
    <t>Pessimistic Case</t>
  </si>
  <si>
    <t>Base Case</t>
  </si>
  <si>
    <t>Optimistic Case</t>
  </si>
  <si>
    <t>1. Pessimistic case</t>
  </si>
  <si>
    <t>2. Base case</t>
  </si>
  <si>
    <t>3. Optimistic case</t>
  </si>
  <si>
    <t>WACC Calculation</t>
  </si>
  <si>
    <t>Formula used</t>
  </si>
  <si>
    <t>Wacc = Re * E/V + Rd*(1-t)*D/V</t>
  </si>
  <si>
    <t>Re = Rf + Be*(MRP)</t>
  </si>
  <si>
    <t>V = D + E</t>
  </si>
  <si>
    <t>Debt</t>
  </si>
  <si>
    <t>Value(E+D)</t>
  </si>
  <si>
    <t>Re</t>
  </si>
  <si>
    <t>Rf</t>
  </si>
  <si>
    <t>Bequity</t>
  </si>
  <si>
    <t>MRP</t>
  </si>
  <si>
    <t>Rd</t>
  </si>
  <si>
    <t>1-t</t>
  </si>
  <si>
    <t>Market Equity</t>
  </si>
  <si>
    <t>E/V</t>
  </si>
  <si>
    <t>D/V</t>
  </si>
  <si>
    <t>10-year government bond yield curve</t>
  </si>
  <si>
    <t>yahoofinance</t>
  </si>
  <si>
    <t>Based on research of VNDIRECT</t>
  </si>
  <si>
    <t>Items</t>
  </si>
  <si>
    <t>Value</t>
  </si>
  <si>
    <t>Source</t>
  </si>
  <si>
    <t>Vietstock</t>
  </si>
  <si>
    <t>Up to Q3/2024 audit report by EY</t>
  </si>
  <si>
    <t>Based on MBS research</t>
  </si>
  <si>
    <t>Corporate tax rate: 20%</t>
  </si>
  <si>
    <t>Sensitivity analysis</t>
  </si>
  <si>
    <t>TGR</t>
  </si>
  <si>
    <t>Judgement of valuation</t>
  </si>
  <si>
    <t>Comparable Companies Analysis</t>
  </si>
  <si>
    <t>Market Data</t>
  </si>
  <si>
    <t>Financials</t>
  </si>
  <si>
    <t>Valuation</t>
  </si>
  <si>
    <t>Company</t>
  </si>
  <si>
    <t>Ticker</t>
  </si>
  <si>
    <t>Shares Outstanding</t>
  </si>
  <si>
    <t>EBITDA</t>
  </si>
  <si>
    <t>Net Income</t>
  </si>
  <si>
    <t>EV/Revenue</t>
  </si>
  <si>
    <t>EV/EBITDA</t>
  </si>
  <si>
    <t>FPT Retail</t>
  </si>
  <si>
    <t>Digiworld Corporation</t>
  </si>
  <si>
    <t>ICT-CE Company</t>
  </si>
  <si>
    <t>Retail Consumer Company</t>
  </si>
  <si>
    <t>Masan Consumers</t>
  </si>
  <si>
    <t>Walmart</t>
  </si>
  <si>
    <t>Ryohin</t>
  </si>
  <si>
    <t>FRT</t>
  </si>
  <si>
    <t>DGW</t>
  </si>
  <si>
    <t>MSN</t>
  </si>
  <si>
    <t>WMT US</t>
  </si>
  <si>
    <t>7453 JP</t>
  </si>
  <si>
    <t>Forward P/E</t>
  </si>
  <si>
    <t>Market Cap (in millions VND)</t>
  </si>
  <si>
    <t>Enterprise 
Value (in Trillions VND)</t>
  </si>
  <si>
    <t>Share 
Price (in VND)</t>
  </si>
  <si>
    <t>MWG Valuation</t>
  </si>
  <si>
    <t>Implied Price</t>
  </si>
  <si>
    <t>Implied Enterprise Value (Trillion)</t>
  </si>
  <si>
    <t>Actual Price</t>
  </si>
  <si>
    <t>Comment: MWG has higher valuations among the competitors</t>
  </si>
  <si>
    <t>Upside</t>
  </si>
  <si>
    <t>TGDD</t>
  </si>
  <si>
    <t>BHX</t>
  </si>
  <si>
    <t>Dien May Xanh</t>
  </si>
  <si>
    <t>Net Revenue</t>
  </si>
  <si>
    <t>TGDD Revenue</t>
  </si>
  <si>
    <t>DMX Revenue</t>
  </si>
  <si>
    <t>BHX Revenue</t>
  </si>
  <si>
    <t>Total Revenue</t>
  </si>
  <si>
    <t>Revenue breakdown</t>
  </si>
  <si>
    <t>%growth</t>
  </si>
  <si>
    <t>NUMBER OF STORES BREAKDOWN BY SEGMENTS</t>
  </si>
  <si>
    <t>REVENUE BREAKDOWN BY SEGMENTS (Billion VND)</t>
  </si>
  <si>
    <t>BALANCE SHEET</t>
  </si>
  <si>
    <t>Source: Investor Relation Monthly Report of MWG</t>
  </si>
  <si>
    <t>Total Stores</t>
  </si>
  <si>
    <t>Other Stores</t>
  </si>
  <si>
    <t>Year-end</t>
  </si>
  <si>
    <t>MOBILE WORLD INVESTMENT CORPORATION</t>
  </si>
  <si>
    <t>Ticker: MWG</t>
  </si>
  <si>
    <t>Nov 20, 2025</t>
  </si>
  <si>
    <t>Presented by: Nguyen Quoc Anh</t>
  </si>
  <si>
    <t>SUMMARY OUTPUT</t>
  </si>
  <si>
    <t>SUMMARY VALUES - BASE CASE</t>
  </si>
  <si>
    <t>Billion VND</t>
  </si>
  <si>
    <t>Income Statement Items</t>
  </si>
  <si>
    <t xml:space="preserve">  Growth</t>
  </si>
  <si>
    <t xml:space="preserve">          Trend</t>
  </si>
  <si>
    <t xml:space="preserve"> Growth</t>
  </si>
  <si>
    <t>EBIT Margin</t>
  </si>
  <si>
    <t>EBIAT Margin</t>
  </si>
  <si>
    <t>PROJECTED</t>
  </si>
  <si>
    <t>Other Revenues</t>
  </si>
  <si>
    <t>Total Net Revenue</t>
  </si>
  <si>
    <t>SUMMARY VALUES - OPTIMISTIC CASE</t>
  </si>
  <si>
    <t>SUMMARY VALUES - PESSIMISTIC CASE</t>
  </si>
  <si>
    <t>MOBILE WORLD GROUP</t>
  </si>
  <si>
    <t>MWG Current Market Status</t>
  </si>
  <si>
    <t>Interest Rate</t>
  </si>
  <si>
    <t>Implied Forward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</si>
</sst>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General&quot;A&quot;"/>
    <numFmt numFmtId="165" formatCode="General&quot;F&quot;"/>
    <numFmt numFmtId="166" formatCode="_-* #,##0_-;\-* #,##0_-;_-* &quot;-&quot;??_-;_-@_-"/>
    <numFmt numFmtId="167" formatCode="0.0%"/>
    <numFmt numFmtId="168" formatCode="_-* #,##0.00_-;\-* #,##0.00_-;_-* &quot;-&quot;??_-;_-@"/>
    <numFmt numFmtId="169" formatCode="_-* #,##0_-;\-* #,##0_-;_-* &quot;-&quot;??_-;_-@"/>
    <numFmt numFmtId="170" formatCode="#,##0.0\x"/>
    <numFmt numFmtId="171" formatCode="0.00000000000000%"/>
    <numFmt numFmtId="172" formatCode="0.0000000000000%"/>
    <numFmt numFmtId="185" formatCode="_-* #,##0.0_-;\-* #,##0.0_-;_-* &quot;-&quot;??_-;_-@_-"/>
  </numFmts>
  <fonts count="2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8"/>
      <color rgb="FF293D68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7"/>
      <color rgb="FF232A3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3"/>
      <name val="Arial"/>
      <family val="2"/>
    </font>
    <font>
      <sz val="11"/>
      <color theme="3"/>
      <name val="Calibri"/>
      <family val="2"/>
      <scheme val="minor"/>
    </font>
    <font>
      <b/>
      <sz val="14"/>
      <color theme="1"/>
      <name val="Arial"/>
      <family val="2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thick">
        <color theme="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ck">
        <color theme="0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3">
    <xf numFmtId="0" fontId="0" fillId="0" borderId="0" xfId="0"/>
    <xf numFmtId="164" fontId="3" fillId="2" borderId="0" xfId="0" applyNumberFormat="1" applyFont="1" applyFill="1"/>
    <xf numFmtId="165" fontId="3" fillId="3" borderId="0" xfId="0" applyNumberFormat="1" applyFont="1" applyFill="1"/>
    <xf numFmtId="0" fontId="5" fillId="0" borderId="0" xfId="0" applyFont="1"/>
    <xf numFmtId="14" fontId="5" fillId="0" borderId="0" xfId="0" applyNumberFormat="1" applyFont="1"/>
    <xf numFmtId="0" fontId="0" fillId="0" borderId="2" xfId="0" applyBorder="1"/>
    <xf numFmtId="0" fontId="4" fillId="0" borderId="0" xfId="0" applyFont="1"/>
    <xf numFmtId="166" fontId="0" fillId="0" borderId="0" xfId="1" applyNumberFormat="1" applyFont="1"/>
    <xf numFmtId="0" fontId="6" fillId="0" borderId="2" xfId="0" applyFont="1" applyBorder="1"/>
    <xf numFmtId="9" fontId="0" fillId="0" borderId="0" xfId="2" applyFont="1"/>
    <xf numFmtId="9" fontId="0" fillId="0" borderId="0" xfId="0" applyNumberFormat="1"/>
    <xf numFmtId="166" fontId="0" fillId="0" borderId="0" xfId="0" applyNumberFormat="1"/>
    <xf numFmtId="166" fontId="7" fillId="0" borderId="0" xfId="1" applyNumberFormat="1" applyFont="1"/>
    <xf numFmtId="166" fontId="7" fillId="0" borderId="0" xfId="0" applyNumberFormat="1" applyFont="1"/>
    <xf numFmtId="9" fontId="8" fillId="0" borderId="0" xfId="2" applyFont="1"/>
    <xf numFmtId="43" fontId="0" fillId="0" borderId="0" xfId="1" applyFont="1"/>
    <xf numFmtId="166" fontId="10" fillId="0" borderId="0" xfId="1" applyNumberFormat="1" applyFont="1"/>
    <xf numFmtId="9" fontId="2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4" borderId="0" xfId="0" applyFont="1" applyFill="1"/>
    <xf numFmtId="0" fontId="9" fillId="4" borderId="0" xfId="0" applyFont="1" applyFill="1"/>
    <xf numFmtId="9" fontId="9" fillId="4" borderId="0" xfId="0" applyNumberFormat="1" applyFont="1" applyFill="1"/>
    <xf numFmtId="167" fontId="0" fillId="5" borderId="0" xfId="2" applyNumberFormat="1" applyFont="1" applyFill="1"/>
    <xf numFmtId="167" fontId="8" fillId="0" borderId="0" xfId="2" applyNumberFormat="1" applyFont="1"/>
    <xf numFmtId="0" fontId="4" fillId="0" borderId="2" xfId="0" applyFont="1" applyBorder="1"/>
    <xf numFmtId="4" fontId="0" fillId="0" borderId="0" xfId="0" applyNumberFormat="1"/>
    <xf numFmtId="10" fontId="0" fillId="0" borderId="0" xfId="0" applyNumberFormat="1"/>
    <xf numFmtId="0" fontId="4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0" fontId="0" fillId="0" borderId="2" xfId="0" applyNumberFormat="1" applyBorder="1"/>
    <xf numFmtId="0" fontId="0" fillId="0" borderId="3" xfId="0" applyBorder="1"/>
    <xf numFmtId="10" fontId="0" fillId="0" borderId="4" xfId="2" applyNumberFormat="1" applyFont="1" applyBorder="1"/>
    <xf numFmtId="10" fontId="0" fillId="0" borderId="0" xfId="2" applyNumberFormat="1" applyFont="1"/>
    <xf numFmtId="166" fontId="0" fillId="0" borderId="2" xfId="0" applyNumberFormat="1" applyBorder="1"/>
    <xf numFmtId="166" fontId="0" fillId="0" borderId="0" xfId="1" applyNumberFormat="1" applyFont="1" applyBorder="1"/>
    <xf numFmtId="166" fontId="0" fillId="0" borderId="2" xfId="1" applyNumberFormat="1" applyFont="1" applyBorder="1"/>
    <xf numFmtId="166" fontId="5" fillId="0" borderId="0" xfId="0" applyNumberFormat="1" applyFont="1"/>
    <xf numFmtId="166" fontId="5" fillId="0" borderId="0" xfId="1" applyNumberFormat="1" applyFont="1"/>
    <xf numFmtId="166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0" fontId="4" fillId="0" borderId="0" xfId="0" applyNumberFormat="1" applyFont="1"/>
    <xf numFmtId="10" fontId="4" fillId="0" borderId="5" xfId="0" applyNumberFormat="1" applyFont="1" applyBorder="1"/>
    <xf numFmtId="167" fontId="4" fillId="0" borderId="5" xfId="0" applyNumberFormat="1" applyFont="1" applyBorder="1"/>
    <xf numFmtId="0" fontId="11" fillId="0" borderId="6" xfId="0" applyFont="1" applyBorder="1"/>
    <xf numFmtId="0" fontId="12" fillId="0" borderId="6" xfId="0" applyFont="1" applyBorder="1"/>
    <xf numFmtId="0" fontId="13" fillId="7" borderId="0" xfId="0" applyFont="1" applyFill="1"/>
    <xf numFmtId="0" fontId="13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6" fillId="0" borderId="0" xfId="0" applyFont="1"/>
    <xf numFmtId="0" fontId="12" fillId="0" borderId="0" xfId="0" applyFont="1" applyAlignment="1">
      <alignment horizontal="center"/>
    </xf>
    <xf numFmtId="168" fontId="15" fillId="0" borderId="0" xfId="0" applyNumberFormat="1" applyFont="1"/>
    <xf numFmtId="169" fontId="15" fillId="0" borderId="0" xfId="0" applyNumberFormat="1" applyFont="1"/>
    <xf numFmtId="169" fontId="12" fillId="0" borderId="0" xfId="0" applyNumberFormat="1" applyFont="1"/>
    <xf numFmtId="170" fontId="12" fillId="0" borderId="0" xfId="0" applyNumberFormat="1" applyFont="1"/>
    <xf numFmtId="0" fontId="12" fillId="7" borderId="0" xfId="0" applyFont="1" applyFill="1"/>
    <xf numFmtId="0" fontId="17" fillId="8" borderId="8" xfId="0" applyFont="1" applyFill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10" borderId="0" xfId="0" applyFill="1"/>
    <xf numFmtId="169" fontId="14" fillId="0" borderId="0" xfId="0" applyNumberFormat="1" applyFont="1"/>
    <xf numFmtId="168" fontId="12" fillId="0" borderId="0" xfId="0" applyNumberFormat="1" applyFont="1"/>
    <xf numFmtId="0" fontId="20" fillId="6" borderId="0" xfId="0" applyFont="1" applyFill="1" applyAlignment="1">
      <alignment horizontal="right" vertical="center"/>
    </xf>
    <xf numFmtId="168" fontId="17" fillId="9" borderId="0" xfId="0" applyNumberFormat="1" applyFont="1" applyFill="1"/>
    <xf numFmtId="169" fontId="17" fillId="8" borderId="8" xfId="0" applyNumberFormat="1" applyFont="1" applyFill="1" applyBorder="1"/>
    <xf numFmtId="0" fontId="0" fillId="0" borderId="9" xfId="0" applyBorder="1"/>
    <xf numFmtId="0" fontId="0" fillId="0" borderId="4" xfId="0" applyBorder="1"/>
    <xf numFmtId="9" fontId="5" fillId="0" borderId="0" xfId="2" applyFont="1"/>
    <xf numFmtId="3" fontId="0" fillId="0" borderId="0" xfId="0" applyNumberFormat="1"/>
    <xf numFmtId="0" fontId="4" fillId="10" borderId="0" xfId="0" applyFont="1" applyFill="1" applyAlignment="1">
      <alignment horizontal="left"/>
    </xf>
    <xf numFmtId="14" fontId="0" fillId="0" borderId="0" xfId="0" applyNumberFormat="1"/>
    <xf numFmtId="2" fontId="0" fillId="0" borderId="0" xfId="0" applyNumberFormat="1"/>
    <xf numFmtId="166" fontId="2" fillId="10" borderId="0" xfId="1" applyNumberFormat="1" applyFont="1" applyFill="1" applyBorder="1" applyAlignment="1">
      <alignment horizontal="right"/>
    </xf>
    <xf numFmtId="0" fontId="0" fillId="10" borderId="0" xfId="0" applyFill="1" applyAlignment="1">
      <alignment horizontal="left"/>
    </xf>
    <xf numFmtId="167" fontId="2" fillId="10" borderId="0" xfId="2" applyNumberFormat="1" applyFont="1" applyFill="1" applyBorder="1" applyAlignment="1">
      <alignment horizontal="right"/>
    </xf>
    <xf numFmtId="166" fontId="0" fillId="10" borderId="0" xfId="0" applyNumberFormat="1" applyFill="1" applyAlignment="1">
      <alignment horizontal="left"/>
    </xf>
    <xf numFmtId="166" fontId="0" fillId="10" borderId="0" xfId="0" applyNumberFormat="1" applyFill="1" applyAlignment="1">
      <alignment horizontal="right"/>
    </xf>
    <xf numFmtId="167" fontId="0" fillId="10" borderId="0" xfId="0" applyNumberFormat="1" applyFill="1" applyAlignment="1">
      <alignment horizontal="right"/>
    </xf>
    <xf numFmtId="0" fontId="21" fillId="0" borderId="2" xfId="0" applyFont="1" applyBorder="1"/>
    <xf numFmtId="0" fontId="22" fillId="0" borderId="2" xfId="0" applyFont="1" applyBorder="1"/>
    <xf numFmtId="0" fontId="3" fillId="2" borderId="0" xfId="0" applyFont="1" applyFill="1" applyAlignment="1">
      <alignment horizontal="center"/>
    </xf>
    <xf numFmtId="166" fontId="1" fillId="0" borderId="0" xfId="1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1" fillId="0" borderId="0" xfId="0" applyFont="1"/>
    <xf numFmtId="166" fontId="0" fillId="10" borderId="0" xfId="1" applyNumberFormat="1" applyFont="1" applyFill="1"/>
    <xf numFmtId="166" fontId="0" fillId="10" borderId="0" xfId="0" applyNumberFormat="1" applyFill="1" applyAlignment="1">
      <alignment horizontal="left" indent="1"/>
    </xf>
    <xf numFmtId="166" fontId="10" fillId="10" borderId="0" xfId="1" applyNumberFormat="1" applyFont="1" applyFill="1" applyBorder="1" applyAlignment="1">
      <alignment horizontal="right"/>
    </xf>
    <xf numFmtId="166" fontId="8" fillId="0" borderId="0" xfId="1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166" fontId="0" fillId="0" borderId="0" xfId="1" applyNumberFormat="1" applyFont="1" applyAlignment="1">
      <alignment vertical="center"/>
    </xf>
    <xf numFmtId="0" fontId="26" fillId="0" borderId="0" xfId="0" applyFont="1"/>
    <xf numFmtId="0" fontId="4" fillId="0" borderId="2" xfId="0" applyFont="1" applyBorder="1" applyAlignment="1">
      <alignment horizontal="center"/>
    </xf>
    <xf numFmtId="0" fontId="3" fillId="11" borderId="0" xfId="0" applyFont="1" applyFill="1"/>
    <xf numFmtId="166" fontId="27" fillId="0" borderId="0" xfId="1" applyNumberFormat="1" applyFont="1"/>
    <xf numFmtId="0" fontId="3" fillId="11" borderId="10" xfId="0" applyFont="1" applyFill="1" applyBorder="1"/>
    <xf numFmtId="0" fontId="0" fillId="0" borderId="11" xfId="0" applyBorder="1"/>
    <xf numFmtId="10" fontId="0" fillId="0" borderId="11" xfId="2" applyNumberFormat="1" applyFont="1" applyBorder="1"/>
    <xf numFmtId="10" fontId="0" fillId="0" borderId="12" xfId="0" applyNumberFormat="1" applyBorder="1"/>
    <xf numFmtId="0" fontId="25" fillId="11" borderId="13" xfId="0" applyFont="1" applyFill="1" applyBorder="1"/>
    <xf numFmtId="0" fontId="25" fillId="11" borderId="14" xfId="0" applyFont="1" applyFill="1" applyBorder="1"/>
    <xf numFmtId="0" fontId="25" fillId="11" borderId="15" xfId="0" applyFont="1" applyFill="1" applyBorder="1"/>
    <xf numFmtId="0" fontId="3" fillId="11" borderId="14" xfId="0" applyFont="1" applyFill="1" applyBorder="1"/>
    <xf numFmtId="0" fontId="25" fillId="11" borderId="16" xfId="0" applyFont="1" applyFill="1" applyBorder="1"/>
    <xf numFmtId="0" fontId="3" fillId="11" borderId="17" xfId="0" applyFont="1" applyFill="1" applyBorder="1"/>
    <xf numFmtId="0" fontId="3" fillId="11" borderId="18" xfId="0" applyFont="1" applyFill="1" applyBorder="1"/>
    <xf numFmtId="0" fontId="0" fillId="0" borderId="17" xfId="0" applyBorder="1"/>
    <xf numFmtId="0" fontId="0" fillId="0" borderId="19" xfId="0" applyBorder="1"/>
    <xf numFmtId="166" fontId="0" fillId="0" borderId="19" xfId="1" applyNumberFormat="1" applyFont="1" applyBorder="1"/>
    <xf numFmtId="0" fontId="0" fillId="0" borderId="17" xfId="0" applyBorder="1" applyAlignment="1">
      <alignment horizontal="left"/>
    </xf>
    <xf numFmtId="10" fontId="0" fillId="0" borderId="20" xfId="2" applyNumberFormat="1" applyFont="1" applyBorder="1"/>
    <xf numFmtId="10" fontId="0" fillId="0" borderId="21" xfId="0" applyNumberFormat="1" applyBorder="1"/>
    <xf numFmtId="10" fontId="0" fillId="0" borderId="19" xfId="0" applyNumberFormat="1" applyBorder="1"/>
    <xf numFmtId="0" fontId="0" fillId="0" borderId="22" xfId="0" applyBorder="1"/>
    <xf numFmtId="0" fontId="0" fillId="0" borderId="23" xfId="0" applyBorder="1"/>
    <xf numFmtId="10" fontId="0" fillId="0" borderId="23" xfId="0" applyNumberFormat="1" applyBorder="1"/>
    <xf numFmtId="10" fontId="0" fillId="0" borderId="24" xfId="0" applyNumberFormat="1" applyBorder="1"/>
    <xf numFmtId="0" fontId="22" fillId="0" borderId="0" xfId="0" applyFont="1" applyAlignment="1">
      <alignment horizontal="center"/>
    </xf>
    <xf numFmtId="10" fontId="2" fillId="0" borderId="0" xfId="2" applyNumberFormat="1" applyFont="1"/>
    <xf numFmtId="10" fontId="8" fillId="0" borderId="0" xfId="2" applyNumberFormat="1" applyFont="1"/>
    <xf numFmtId="10" fontId="0" fillId="5" borderId="0" xfId="0" applyNumberFormat="1" applyFill="1"/>
    <xf numFmtId="10" fontId="0" fillId="5" borderId="0" xfId="2" applyNumberFormat="1" applyFont="1" applyFill="1"/>
    <xf numFmtId="172" fontId="8" fillId="0" borderId="0" xfId="2" applyNumberFormat="1" applyFont="1"/>
    <xf numFmtId="171" fontId="8" fillId="0" borderId="0" xfId="2" applyNumberFormat="1" applyFont="1"/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0" borderId="0" xfId="0"/>
    <xf numFmtId="0" fontId="4" fillId="10" borderId="0" xfId="0" applyFont="1" applyFill="1" applyAlignment="1">
      <alignment horizontal="left"/>
    </xf>
    <xf numFmtId="0" fontId="13" fillId="7" borderId="7" xfId="0" applyFont="1" applyFill="1" applyBorder="1" applyAlignment="1">
      <alignment horizontal="center"/>
    </xf>
    <xf numFmtId="0" fontId="14" fillId="0" borderId="7" xfId="0" applyFont="1" applyBorder="1"/>
    <xf numFmtId="166" fontId="2" fillId="0" borderId="0" xfId="1" applyNumberFormat="1" applyFont="1"/>
    <xf numFmtId="10" fontId="0" fillId="10" borderId="0" xfId="2" applyNumberFormat="1" applyFont="1" applyFill="1"/>
    <xf numFmtId="166" fontId="2" fillId="0" borderId="0" xfId="2" applyNumberFormat="1" applyFont="1"/>
    <xf numFmtId="166" fontId="0" fillId="10" borderId="0" xfId="2" applyNumberFormat="1" applyFont="1" applyFill="1"/>
    <xf numFmtId="185" fontId="0" fillId="0" borderId="0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Stores Across Segments Overtime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2537182852142"/>
          <c:y val="5.0925925925925923E-2"/>
          <c:w val="0.62364063867016628"/>
          <c:h val="0.69146617089530471"/>
        </c:manualLayout>
      </c:layout>
      <c:areaChart>
        <c:grouping val="stacked"/>
        <c:varyColors val="0"/>
        <c:ser>
          <c:idx val="0"/>
          <c:order val="0"/>
          <c:tx>
            <c:strRef>
              <c:f>'Breakdown by Segments'!$B$18</c:f>
              <c:strCache>
                <c:ptCount val="1"/>
                <c:pt idx="0">
                  <c:v>TGDD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'Breakdown by Segments'!$A$19:$A$26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Segments'!$B$19:$B$26</c:f>
              <c:numCache>
                <c:formatCode>General</c:formatCode>
                <c:ptCount val="8"/>
                <c:pt idx="0">
                  <c:v>1032</c:v>
                </c:pt>
                <c:pt idx="1">
                  <c:v>996</c:v>
                </c:pt>
                <c:pt idx="2">
                  <c:v>913</c:v>
                </c:pt>
                <c:pt idx="3">
                  <c:v>970</c:v>
                </c:pt>
                <c:pt idx="4">
                  <c:v>1190</c:v>
                </c:pt>
                <c:pt idx="5">
                  <c:v>1078</c:v>
                </c:pt>
                <c:pt idx="6">
                  <c:v>1021</c:v>
                </c:pt>
                <c:pt idx="7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B-4E53-A269-FA186ADEFA7C}"/>
            </c:ext>
          </c:extLst>
        </c:ser>
        <c:ser>
          <c:idx val="1"/>
          <c:order val="1"/>
          <c:tx>
            <c:strRef>
              <c:f>'Breakdown by Segments'!$C$18</c:f>
              <c:strCache>
                <c:ptCount val="1"/>
                <c:pt idx="0">
                  <c:v>Dien May Xanh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'Breakdown by Segments'!$A$19:$A$26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Segments'!$C$19:$C$26</c:f>
              <c:numCache>
                <c:formatCode>General</c:formatCode>
                <c:ptCount val="8"/>
                <c:pt idx="0">
                  <c:v>750</c:v>
                </c:pt>
                <c:pt idx="1">
                  <c:v>1018</c:v>
                </c:pt>
                <c:pt idx="2">
                  <c:v>1427</c:v>
                </c:pt>
                <c:pt idx="3">
                  <c:v>1992</c:v>
                </c:pt>
                <c:pt idx="4">
                  <c:v>2284</c:v>
                </c:pt>
                <c:pt idx="5">
                  <c:v>2190</c:v>
                </c:pt>
                <c:pt idx="6">
                  <c:v>2026</c:v>
                </c:pt>
                <c:pt idx="7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B-4E53-A269-FA186ADEFA7C}"/>
            </c:ext>
          </c:extLst>
        </c:ser>
        <c:ser>
          <c:idx val="2"/>
          <c:order val="2"/>
          <c:tx>
            <c:strRef>
              <c:f>'Breakdown by Segments'!$D$18</c:f>
              <c:strCache>
                <c:ptCount val="1"/>
                <c:pt idx="0">
                  <c:v>BHX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'Breakdown by Segments'!$A$19:$A$26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Segments'!$D$19:$D$26</c:f>
              <c:numCache>
                <c:formatCode>General</c:formatCode>
                <c:ptCount val="8"/>
                <c:pt idx="0">
                  <c:v>405</c:v>
                </c:pt>
                <c:pt idx="1">
                  <c:v>1008</c:v>
                </c:pt>
                <c:pt idx="2">
                  <c:v>1719</c:v>
                </c:pt>
                <c:pt idx="3">
                  <c:v>2106</c:v>
                </c:pt>
                <c:pt idx="4">
                  <c:v>1728</c:v>
                </c:pt>
                <c:pt idx="5">
                  <c:v>1698</c:v>
                </c:pt>
                <c:pt idx="6">
                  <c:v>1770</c:v>
                </c:pt>
                <c:pt idx="7">
                  <c:v>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B-4E53-A269-FA186ADEFA7C}"/>
            </c:ext>
          </c:extLst>
        </c:ser>
        <c:ser>
          <c:idx val="3"/>
          <c:order val="3"/>
          <c:tx>
            <c:strRef>
              <c:f>'Breakdown by Segments'!$E$18</c:f>
              <c:strCache>
                <c:ptCount val="1"/>
                <c:pt idx="0">
                  <c:v>Other Stores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'Breakdown by Segments'!$A$19:$A$26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Segments'!$E$19:$E$26</c:f>
              <c:numCache>
                <c:formatCode>General</c:formatCode>
                <c:ptCount val="8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238</c:v>
                </c:pt>
                <c:pt idx="4">
                  <c:v>564</c:v>
                </c:pt>
                <c:pt idx="5">
                  <c:v>629</c:v>
                </c:pt>
                <c:pt idx="6">
                  <c:v>475</c:v>
                </c:pt>
                <c:pt idx="7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6B-4E53-A269-FA186ADEF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49632"/>
        <c:axId val="964750352"/>
      </c:areaChart>
      <c:lineChart>
        <c:grouping val="standard"/>
        <c:varyColors val="0"/>
        <c:ser>
          <c:idx val="4"/>
          <c:order val="4"/>
          <c:tx>
            <c:strRef>
              <c:f>'Breakdown by Segments'!$F$18</c:f>
              <c:strCache>
                <c:ptCount val="1"/>
                <c:pt idx="0">
                  <c:v>Total Stores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'Breakdown by Segments'!$A$19:$A$26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Segments'!$F$19:$F$26</c:f>
              <c:numCache>
                <c:formatCode>General</c:formatCode>
                <c:ptCount val="8"/>
                <c:pt idx="0">
                  <c:v>2187</c:v>
                </c:pt>
                <c:pt idx="1">
                  <c:v>3034</c:v>
                </c:pt>
                <c:pt idx="2">
                  <c:v>4059</c:v>
                </c:pt>
                <c:pt idx="3">
                  <c:v>5306</c:v>
                </c:pt>
                <c:pt idx="4">
                  <c:v>5766</c:v>
                </c:pt>
                <c:pt idx="5">
                  <c:v>5595</c:v>
                </c:pt>
                <c:pt idx="6">
                  <c:v>5292</c:v>
                </c:pt>
                <c:pt idx="7">
                  <c:v>5985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6B-4E53-A269-FA186ADEF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749632"/>
        <c:axId val="964750352"/>
      </c:lineChart>
      <c:dateAx>
        <c:axId val="96474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50352"/>
        <c:crosses val="autoZero"/>
        <c:auto val="1"/>
        <c:lblOffset val="100"/>
        <c:baseTimeUnit val="months"/>
      </c:dateAx>
      <c:valAx>
        <c:axId val="9647503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Shares of Segments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'Breakdown by Segments'!$B$5</c:f>
              <c:strCache>
                <c:ptCount val="1"/>
                <c:pt idx="0">
                  <c:v>TGDD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'Breakdown by Segments'!$A$6:$A$13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Segments'!$B$6:$B$13</c:f>
              <c:numCache>
                <c:formatCode>_-* #,##0_-;\-* #,##0_-;_-* "-"??_-;_-@_-</c:formatCode>
                <c:ptCount val="8"/>
                <c:pt idx="0">
                  <c:v>34606.400000000001</c:v>
                </c:pt>
                <c:pt idx="1">
                  <c:v>33206.550000000003</c:v>
                </c:pt>
                <c:pt idx="2">
                  <c:v>29524.512000000002</c:v>
                </c:pt>
                <c:pt idx="3">
                  <c:v>31600.206000000002</c:v>
                </c:pt>
                <c:pt idx="4">
                  <c:v>34685.300000000003</c:v>
                </c:pt>
                <c:pt idx="5">
                  <c:v>28268.92</c:v>
                </c:pt>
                <c:pt idx="6">
                  <c:v>30092.383999999998</c:v>
                </c:pt>
                <c:pt idx="7">
                  <c:v>30404.492999999999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E-46BD-8066-5EB1BF800676}"/>
            </c:ext>
          </c:extLst>
        </c:ser>
        <c:ser>
          <c:idx val="1"/>
          <c:order val="1"/>
          <c:tx>
            <c:strRef>
              <c:f>'Breakdown by Segments'!$C$5</c:f>
              <c:strCache>
                <c:ptCount val="1"/>
                <c:pt idx="0">
                  <c:v>Dien May Xanh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'Breakdown by Segments'!$A$6:$A$13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Segments'!$C$6:$C$13</c:f>
              <c:numCache>
                <c:formatCode>_-* #,##0_-;\-* #,##0_-;_-* "-"??_-;_-@_-</c:formatCode>
                <c:ptCount val="8"/>
                <c:pt idx="0">
                  <c:v>47583.8</c:v>
                </c:pt>
                <c:pt idx="1">
                  <c:v>58239.179999999993</c:v>
                </c:pt>
                <c:pt idx="2">
                  <c:v>57746.472000000002</c:v>
                </c:pt>
                <c:pt idx="3">
                  <c:v>62708.58</c:v>
                </c:pt>
                <c:pt idx="4">
                  <c:v>68970.384999999995</c:v>
                </c:pt>
                <c:pt idx="5">
                  <c:v>55236.76</c:v>
                </c:pt>
                <c:pt idx="6">
                  <c:v>59513.062999999995</c:v>
                </c:pt>
                <c:pt idx="7">
                  <c:v>56447.16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E-46BD-8066-5EB1BF800676}"/>
            </c:ext>
          </c:extLst>
        </c:ser>
        <c:ser>
          <c:idx val="2"/>
          <c:order val="2"/>
          <c:tx>
            <c:strRef>
              <c:f>'Breakdown by Segments'!$D$5</c:f>
              <c:strCache>
                <c:ptCount val="1"/>
                <c:pt idx="0">
                  <c:v>BHX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'Breakdown by Segments'!$A$6:$A$13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Segments'!$D$6:$D$13</c:f>
              <c:numCache>
                <c:formatCode>_-* #,##0_-;\-* #,##0_-;_-* "-"??_-;_-@_-</c:formatCode>
                <c:ptCount val="8"/>
                <c:pt idx="0">
                  <c:v>4325.8</c:v>
                </c:pt>
                <c:pt idx="1">
                  <c:v>10728.27</c:v>
                </c:pt>
                <c:pt idx="2">
                  <c:v>21275.016</c:v>
                </c:pt>
                <c:pt idx="3">
                  <c:v>28157.381999999998</c:v>
                </c:pt>
                <c:pt idx="4">
                  <c:v>27081.215</c:v>
                </c:pt>
                <c:pt idx="5">
                  <c:v>31580.760000000002</c:v>
                </c:pt>
                <c:pt idx="6">
                  <c:v>41108.345999999998</c:v>
                </c:pt>
                <c:pt idx="7">
                  <c:v>38486.699999999997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E-46BD-8066-5EB1BF800676}"/>
            </c:ext>
          </c:extLst>
        </c:ser>
        <c:ser>
          <c:idx val="3"/>
          <c:order val="3"/>
          <c:tx>
            <c:strRef>
              <c:f>'Breakdown by Segments'!$E$5</c:f>
              <c:strCache>
                <c:ptCount val="1"/>
                <c:pt idx="0">
                  <c:v>Other Revenues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'Breakdown by Segments'!$A$6:$A$13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cat>
          <c:val>
            <c:numRef>
              <c:f>'Breakdown by Segments'!$E$6:$E$13</c:f>
              <c:numCache>
                <c:formatCode>_-* #,##0_-;\-* #,##0_-;_-* "-"??_-;_-@_-</c:formatCode>
                <c:ptCount val="8"/>
                <c:pt idx="3">
                  <c:v>491.83199999999999</c:v>
                </c:pt>
                <c:pt idx="4">
                  <c:v>2668.1</c:v>
                </c:pt>
                <c:pt idx="5">
                  <c:v>3193.5600000000004</c:v>
                </c:pt>
                <c:pt idx="6">
                  <c:v>3627.2070000000003</c:v>
                </c:pt>
                <c:pt idx="7">
                  <c:v>2950.6469999999999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E-46BD-8066-5EB1BF800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279248"/>
        <c:axId val="1036280328"/>
      </c:areaChart>
      <c:scatterChart>
        <c:scatterStyle val="lineMarker"/>
        <c:varyColors val="0"/>
        <c:ser>
          <c:idx val="4"/>
          <c:order val="4"/>
          <c:tx>
            <c:strRef>
              <c:f>'Breakdown by Segments'!$F$5</c:f>
              <c:strCache>
                <c:ptCount val="1"/>
                <c:pt idx="0">
                  <c:v>Total Net Revenue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'Breakdown by Segments'!$A$6:$A$13</c:f>
              <c:numCache>
                <c:formatCode>m/d/yyyy</c:formatCode>
                <c:ptCount val="8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45961</c:v>
                </c:pt>
              </c:numCache>
            </c:numRef>
          </c:xVal>
          <c:yVal>
            <c:numRef>
              <c:f>'Breakdown by Segments'!$F$6:$F$13</c:f>
              <c:numCache>
                <c:formatCode>_-* #,##0_-;\-* #,##0_-;_-* "-"??_-;_-@_-</c:formatCode>
                <c:ptCount val="8"/>
                <c:pt idx="0">
                  <c:v>86516.000000000015</c:v>
                </c:pt>
                <c:pt idx="1">
                  <c:v>102174</c:v>
                </c:pt>
                <c:pt idx="2">
                  <c:v>108546</c:v>
                </c:pt>
                <c:pt idx="3">
                  <c:v>122958</c:v>
                </c:pt>
                <c:pt idx="4">
                  <c:v>133405</c:v>
                </c:pt>
                <c:pt idx="5">
                  <c:v>118280</c:v>
                </c:pt>
                <c:pt idx="6">
                  <c:v>134340.99999999997</c:v>
                </c:pt>
                <c:pt idx="7">
                  <c:v>128289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5E-46BD-8066-5EB1BF800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279248"/>
        <c:axId val="1036280328"/>
      </c:scatterChart>
      <c:dateAx>
        <c:axId val="103627924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80328"/>
        <c:crosses val="autoZero"/>
        <c:auto val="1"/>
        <c:lblOffset val="100"/>
        <c:baseTimeUnit val="months"/>
      </c:dateAx>
      <c:valAx>
        <c:axId val="103628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79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0</xdr:rowOff>
    </xdr:from>
    <xdr:to>
      <xdr:col>4</xdr:col>
      <xdr:colOff>211455</xdr:colOff>
      <xdr:row>5</xdr:row>
      <xdr:rowOff>177800</xdr:rowOff>
    </xdr:to>
    <xdr:pic>
      <xdr:nvPicPr>
        <xdr:cNvPr id="2" name="Picture 1" descr="MWG: Mobile World Investment Corporation - MWG | Vietstockfinance">
          <a:extLst>
            <a:ext uri="{FF2B5EF4-FFF2-40B4-BE49-F238E27FC236}">
              <a16:creationId xmlns:a16="http://schemas.microsoft.com/office/drawing/2014/main" id="{143D6D2D-E28B-86ED-0369-9969439C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2306955" cy="109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263525</xdr:colOff>
      <xdr:row>17</xdr:row>
      <xdr:rowOff>12700</xdr:rowOff>
    </xdr:from>
    <xdr:to>
      <xdr:col>13</xdr:col>
      <xdr:colOff>447675</xdr:colOff>
      <xdr:row>31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44A3E-19E8-8508-5E23-A9D920977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301625</xdr:colOff>
      <xdr:row>2</xdr:row>
      <xdr:rowOff>171450</xdr:rowOff>
    </xdr:from>
    <xdr:to>
      <xdr:col>13</xdr:col>
      <xdr:colOff>400050</xdr:colOff>
      <xdr:row>15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549480-7AF2-7246-2E79-CD909987C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531-5332-40B7-89F0-C02DE34ECA13}">
  <dimension ref="B6:B22"/>
  <sheetViews>
    <sheetView showGridLines="0" zoomScale="115" zoomScaleNormal="115" workbookViewId="0">
      <selection activeCell="G8" sqref="G8"/>
    </sheetView>
  </sheetViews>
  <sheetFormatPr defaultRowHeight="14.5" x14ac:dyDescent="0.35"/>
  <sheetData>
    <row r="6" spans="2:2" s="94" customFormat="1" ht="20" x14ac:dyDescent="0.4">
      <c r="B6" s="95" t="s">
        <v>238</v>
      </c>
    </row>
    <row r="7" spans="2:2" x14ac:dyDescent="0.35">
      <c r="B7" s="96" t="s">
        <v>221</v>
      </c>
    </row>
    <row r="8" spans="2:2" x14ac:dyDescent="0.35">
      <c r="B8" t="s">
        <v>222</v>
      </c>
    </row>
    <row r="19" spans="2:2" x14ac:dyDescent="0.35">
      <c r="B19" t="s">
        <v>223</v>
      </c>
    </row>
    <row r="22" spans="2:2" s="5" customFormat="1" ht="15" thickBot="1" x14ac:dyDescent="0.4"/>
  </sheetData>
  <printOptions horizontalCentered="1"/>
  <pageMargins left="1" right="1" top="1" bottom="1" header="0.5" footer="0.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2CD7-70FD-4690-A283-6F8FABA9AB9F}">
  <dimension ref="B1:Q41"/>
  <sheetViews>
    <sheetView showGridLines="0" view="pageLayout" topLeftCell="A16" zoomScale="70" zoomScaleNormal="40" zoomScaleSheetLayoutView="100" zoomScalePageLayoutView="70" workbookViewId="0">
      <selection activeCell="A55" sqref="A55"/>
    </sheetView>
  </sheetViews>
  <sheetFormatPr defaultRowHeight="14.5" x14ac:dyDescent="0.35"/>
  <cols>
    <col min="2" max="2" width="21.36328125" bestFit="1" customWidth="1"/>
    <col min="3" max="3" width="10.26953125" bestFit="1" customWidth="1"/>
    <col min="5" max="5" width="8.08984375" bestFit="1" customWidth="1"/>
    <col min="6" max="13" width="9.1796875" bestFit="1" customWidth="1"/>
    <col min="14" max="14" width="10.453125" bestFit="1" customWidth="1"/>
    <col min="15" max="17" width="9.1796875" bestFit="1" customWidth="1"/>
  </cols>
  <sheetData>
    <row r="1" spans="2:17" ht="18" x14ac:dyDescent="0.4">
      <c r="F1" s="98" t="s">
        <v>220</v>
      </c>
      <c r="I1" s="6"/>
    </row>
    <row r="2" spans="2:17" s="5" customFormat="1" ht="20" customHeight="1" thickBot="1" x14ac:dyDescent="0.4">
      <c r="H2" s="99" t="s">
        <v>224</v>
      </c>
    </row>
    <row r="4" spans="2:17" ht="19" thickBot="1" x14ac:dyDescent="0.5">
      <c r="H4" s="124" t="s">
        <v>225</v>
      </c>
    </row>
    <row r="5" spans="2:17" ht="15" thickBot="1" x14ac:dyDescent="0.4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8"/>
      <c r="M5" s="109"/>
      <c r="N5" s="109" t="s">
        <v>233</v>
      </c>
      <c r="O5" s="108"/>
      <c r="P5" s="108"/>
      <c r="Q5" s="110"/>
    </row>
    <row r="6" spans="2:17" ht="15" thickTop="1" x14ac:dyDescent="0.35">
      <c r="B6" s="111" t="s">
        <v>226</v>
      </c>
      <c r="C6" s="100" t="s">
        <v>229</v>
      </c>
      <c r="D6" s="100"/>
      <c r="E6" s="100">
        <v>2018</v>
      </c>
      <c r="F6" s="100">
        <v>2019</v>
      </c>
      <c r="G6" s="100">
        <v>2020</v>
      </c>
      <c r="H6" s="100">
        <v>2021</v>
      </c>
      <c r="I6" s="100">
        <v>2022</v>
      </c>
      <c r="J6" s="100">
        <v>2023</v>
      </c>
      <c r="K6" s="100">
        <v>2024</v>
      </c>
      <c r="L6" s="100">
        <v>2025</v>
      </c>
      <c r="M6" s="102">
        <v>2026</v>
      </c>
      <c r="N6" s="102">
        <v>2027</v>
      </c>
      <c r="O6" s="100">
        <v>2028</v>
      </c>
      <c r="P6" s="100">
        <v>2029</v>
      </c>
      <c r="Q6" s="112">
        <v>2030</v>
      </c>
    </row>
    <row r="7" spans="2:17" x14ac:dyDescent="0.35">
      <c r="B7" s="113" t="s">
        <v>227</v>
      </c>
      <c r="Q7" s="114"/>
    </row>
    <row r="8" spans="2:17" x14ac:dyDescent="0.35">
      <c r="B8" s="113" t="s">
        <v>206</v>
      </c>
      <c r="C8" s="131"/>
      <c r="D8" s="131"/>
      <c r="E8" s="37">
        <f t="array" ref="E8:K8">TRANSPOSE('Breakdown by Segments'!F6:F13)</f>
        <v>86516.000000000015</v>
      </c>
      <c r="F8" s="37">
        <v>102174</v>
      </c>
      <c r="G8" s="37">
        <v>108546</v>
      </c>
      <c r="H8" s="37">
        <v>122958</v>
      </c>
      <c r="I8" s="37">
        <v>133405</v>
      </c>
      <c r="J8" s="37">
        <v>118280</v>
      </c>
      <c r="K8" s="37">
        <v>134340.99999999997</v>
      </c>
      <c r="L8" s="37">
        <f>K8*(1+'DCF Model'!K34)</f>
        <v>153923.28333702</v>
      </c>
      <c r="M8" s="37">
        <f>L8*(1+'DCF Model'!L34)</f>
        <v>178197.45534427618</v>
      </c>
      <c r="N8" s="37">
        <f>M8*(1+'DCF Model'!M34)</f>
        <v>203413.851604828</v>
      </c>
      <c r="O8" s="37">
        <f>N8*(1+'DCF Model'!N34)</f>
        <v>233447.14476484779</v>
      </c>
      <c r="P8" s="37">
        <f>O8*(1+'DCF Model'!O34)</f>
        <v>273991.1654657218</v>
      </c>
      <c r="Q8" s="115">
        <f>P8*(1+'DCF Model'!P34)</f>
        <v>337888.09944321524</v>
      </c>
    </row>
    <row r="9" spans="2:17" x14ac:dyDescent="0.35">
      <c r="B9" s="116" t="s">
        <v>228</v>
      </c>
      <c r="C9" s="131"/>
      <c r="D9" s="131"/>
      <c r="E9" s="103"/>
      <c r="F9" s="104">
        <f>'DCF Model'!E34</f>
        <v>0.18098276656014756</v>
      </c>
      <c r="G9" s="104">
        <f>'DCF Model'!F34</f>
        <v>6.2361857946711119E-2</v>
      </c>
      <c r="H9" s="104">
        <f>'DCF Model'!G34</f>
        <v>0.132773974413678</v>
      </c>
      <c r="I9" s="104">
        <f>'DCF Model'!H34</f>
        <v>8.4961226375625865E-2</v>
      </c>
      <c r="J9" s="104">
        <f>'DCF Model'!I34</f>
        <v>-0.11337666767457932</v>
      </c>
      <c r="K9" s="104">
        <f>'DCF Model'!J34</f>
        <v>0.13579128440367971</v>
      </c>
      <c r="L9" s="104">
        <f>'DCF Model'!K36</f>
        <v>0.14576550224443796</v>
      </c>
      <c r="M9" s="104">
        <f>'DCF Model'!L36</f>
        <v>0.15770305493098857</v>
      </c>
      <c r="N9" s="104">
        <f>'DCF Model'!M36</f>
        <v>0.14150817255966941</v>
      </c>
      <c r="O9" s="104">
        <f>'DCF Model'!N36</f>
        <v>0.14764625379772789</v>
      </c>
      <c r="P9" s="104">
        <f>'DCF Model'!O36</f>
        <v>0.17367537624721918</v>
      </c>
      <c r="Q9" s="117">
        <f>'DCF Model'!P36</f>
        <v>0.233208008254147</v>
      </c>
    </row>
    <row r="10" spans="2:17" x14ac:dyDescent="0.35">
      <c r="B10" s="113" t="s">
        <v>231</v>
      </c>
      <c r="C10" s="131"/>
      <c r="D10" s="131"/>
      <c r="E10" s="105">
        <f>'DCF Model'!D43</f>
        <v>4.3016322574810743E-2</v>
      </c>
      <c r="F10" s="105">
        <f>'DCF Model'!E43</f>
        <v>4.8651313339142452E-2</v>
      </c>
      <c r="G10" s="105">
        <f>'DCF Model'!F43</f>
        <v>4.9293880998870616E-2</v>
      </c>
      <c r="H10" s="105">
        <f>'DCF Model'!G43</f>
        <v>5.2082547579641467E-2</v>
      </c>
      <c r="I10" s="105">
        <f>'DCF Model'!H43</f>
        <v>4.880184047452641E-2</v>
      </c>
      <c r="J10" s="105">
        <f>'DCF Model'!I43</f>
        <v>8.7816120480299076E-3</v>
      </c>
      <c r="K10" s="105">
        <f>'DCF Model'!J43</f>
        <v>3.8654401991044862E-2</v>
      </c>
      <c r="L10" s="105">
        <f>'DCF Model'!K45</f>
        <v>4.1325988429438062E-2</v>
      </c>
      <c r="M10" s="105">
        <f>'DCF Model'!L45</f>
        <v>4.108451212295626E-2</v>
      </c>
      <c r="N10" s="105">
        <f>'DCF Model'!M45</f>
        <v>4.0003540520643942E-2</v>
      </c>
      <c r="O10" s="105">
        <f>'DCF Model'!N45</f>
        <v>3.8676349023754421E-2</v>
      </c>
      <c r="P10" s="105">
        <f>'DCF Model'!O45</f>
        <v>3.6761177801484843E-2</v>
      </c>
      <c r="Q10" s="118">
        <f>'DCF Model'!P45</f>
        <v>3.5041083133907469E-2</v>
      </c>
    </row>
    <row r="11" spans="2:17" x14ac:dyDescent="0.35">
      <c r="B11" s="113" t="s">
        <v>230</v>
      </c>
      <c r="C11" s="131"/>
      <c r="D11" s="131"/>
      <c r="E11" s="103"/>
      <c r="F11" s="104">
        <f>'DCF Model'!E42/'DCF Model'!D42-1</f>
        <v>0.3339798879675302</v>
      </c>
      <c r="G11" s="104">
        <f>'DCF Model'!F42/'DCF Model'!E42-1</f>
        <v>7.5048710909445981E-2</v>
      </c>
      <c r="H11" s="104">
        <f>'DCF Model'!G42/'DCF Model'!F42-1</f>
        <v>0.19456280121249359</v>
      </c>
      <c r="I11" s="104">
        <f>'DCF Model'!H42/'DCF Model'!G42-1</f>
        <v>1.6871854661362207E-2</v>
      </c>
      <c r="J11" s="104">
        <f>'DCF Model'!I42/'DCF Model'!H42-1</f>
        <v>-0.84074264110233066</v>
      </c>
      <c r="K11" s="104">
        <f>'DCF Model'!J42/'DCF Model'!I42-1</f>
        <v>3.9920765964682916</v>
      </c>
      <c r="L11" s="104">
        <f>('DCF Model'!K30*'DCF Model'!K45)/('DCF Model'!J30*'DCF Model'!J43)-1</f>
        <v>0.2249547127794802</v>
      </c>
      <c r="M11" s="104">
        <f>('DCF Model'!L30*'DCF Model'!L45)/('DCF Model'!K30*'DCF Model'!K45)-1</f>
        <v>0.15093835629142016</v>
      </c>
      <c r="N11" s="104">
        <f>('DCF Model'!M30*'DCF Model'!M45)/('DCF Model'!L30*'DCF Model'!L45)-1</f>
        <v>0.11147403427778957</v>
      </c>
      <c r="O11" s="104">
        <f>('DCF Model'!N30*'DCF Model'!N45)/('DCF Model'!M30*'DCF Model'!M45)-1</f>
        <v>0.10957096521942233</v>
      </c>
      <c r="P11" s="104">
        <f>('DCF Model'!O30*'DCF Model'!O45)/('DCF Model'!N30*'DCF Model'!N45)-1</f>
        <v>0.11555744729031248</v>
      </c>
      <c r="Q11" s="117">
        <f>('DCF Model'!P30*'DCF Model'!P45)/('DCF Model'!O30*'DCF Model'!O45)-1</f>
        <v>0.17550489192673702</v>
      </c>
    </row>
    <row r="12" spans="2:17" x14ac:dyDescent="0.35">
      <c r="B12" s="113" t="s">
        <v>232</v>
      </c>
      <c r="C12" s="131"/>
      <c r="D12" s="131"/>
      <c r="E12" s="27">
        <f>'DCF Model'!D52</f>
        <v>3.2372898917834063E-2</v>
      </c>
      <c r="F12" s="27">
        <f>'DCF Model'!E52</f>
        <v>3.6588188066702727E-2</v>
      </c>
      <c r="G12" s="27">
        <f>'DCF Model'!F52</f>
        <v>3.4736544288287832E-2</v>
      </c>
      <c r="H12" s="27">
        <f>'DCF Model'!G52</f>
        <v>3.8928402045998928E-2</v>
      </c>
      <c r="I12" s="27">
        <f>'DCF Model'!H52</f>
        <v>3.5492985961575935E-2</v>
      </c>
      <c r="J12" s="27">
        <f>'DCF Model'!I52</f>
        <v>5.1479462738177632E-3</v>
      </c>
      <c r="K12" s="27">
        <f>'DCF Model'!J52</f>
        <v>2.916994160167365E-2</v>
      </c>
      <c r="L12" s="27">
        <f>'DCF Model'!K54</f>
        <v>2.9665460181185949E-2</v>
      </c>
      <c r="M12" s="27">
        <f>'DCF Model'!L54</f>
        <v>2.9288268347795614E-2</v>
      </c>
      <c r="N12" s="27">
        <f>'DCF Model'!M54</f>
        <v>2.8293814087410132E-2</v>
      </c>
      <c r="O12" s="27">
        <f>'DCF Model'!N54</f>
        <v>2.7369480303789672E-2</v>
      </c>
      <c r="P12" s="27">
        <f>'DCF Model'!O54</f>
        <v>2.5805280197610365E-2</v>
      </c>
      <c r="Q12" s="119">
        <f>'DCF Model'!P54</f>
        <v>2.4471090706414417E-2</v>
      </c>
    </row>
    <row r="13" spans="2:17" ht="15" thickBot="1" x14ac:dyDescent="0.4">
      <c r="B13" s="120" t="s">
        <v>230</v>
      </c>
      <c r="C13" s="132"/>
      <c r="D13" s="132"/>
      <c r="E13" s="121"/>
      <c r="F13" s="122">
        <f>'DCF Model'!E51/'DCF Model'!D51-1</f>
        <v>0.33305265783281413</v>
      </c>
      <c r="G13" s="122">
        <f>'DCF Model'!F51/'DCF Model'!E51-1</f>
        <v>7.3384410300822989E-3</v>
      </c>
      <c r="H13" s="122">
        <f>'DCF Model'!G51/'DCF Model'!F51-1</f>
        <v>0.26703830745826163</v>
      </c>
      <c r="I13" s="122">
        <f>'DCF Model'!H51/'DCF Model'!G51-1</f>
        <v>-1.0540082997672284E-2</v>
      </c>
      <c r="J13" s="122">
        <f>'DCF Model'!I51/'DCF Model'!H51-1</f>
        <v>-0.87163313599095527</v>
      </c>
      <c r="K13" s="122">
        <f>'DCF Model'!J51/'DCF Model'!I51-1</f>
        <v>5.4262568892168348</v>
      </c>
      <c r="L13" s="122">
        <f>('DCF Model'!K30*'DCF Model'!K54)/'DCF Model'!J51-1</f>
        <v>0.16522896576038093</v>
      </c>
      <c r="M13" s="122">
        <f>('DCF Model'!L30*'DCF Model'!L54)/('DCF Model'!K30*'DCF Model'!K54)-1</f>
        <v>0.14298303592086858</v>
      </c>
      <c r="N13" s="122">
        <f>('DCF Model'!M30*'DCF Model'!M54)/('DCF Model'!L30*'DCF Model'!L54)-1</f>
        <v>0.10274938859925631</v>
      </c>
      <c r="O13" s="122">
        <f>('DCF Model'!N30*'DCF Model'!N54)/('DCF Model'!M30*'DCF Model'!M54)-1</f>
        <v>0.11015366970307494</v>
      </c>
      <c r="P13" s="122">
        <f>('DCF Model'!O30*'DCF Model'!O54)/('DCF Model'!N30*'DCF Model'!N54)-1</f>
        <v>0.10659835732802025</v>
      </c>
      <c r="Q13" s="123">
        <f>('DCF Model'!P30*'DCF Model'!P54)/('DCF Model'!O30*'DCF Model'!O54)-1</f>
        <v>0.16944845391209684</v>
      </c>
    </row>
    <row r="18" spans="2:17" ht="19" thickBot="1" x14ac:dyDescent="0.5">
      <c r="H18" s="124" t="s">
        <v>236</v>
      </c>
    </row>
    <row r="19" spans="2:17" ht="15" thickBot="1" x14ac:dyDescent="0.4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8"/>
      <c r="M19" s="109"/>
      <c r="N19" s="109" t="s">
        <v>233</v>
      </c>
      <c r="O19" s="108"/>
      <c r="P19" s="108"/>
      <c r="Q19" s="110"/>
    </row>
    <row r="20" spans="2:17" ht="15" thickTop="1" x14ac:dyDescent="0.35">
      <c r="B20" s="111" t="s">
        <v>226</v>
      </c>
      <c r="C20" s="100" t="s">
        <v>229</v>
      </c>
      <c r="D20" s="100"/>
      <c r="E20" s="100">
        <v>2018</v>
      </c>
      <c r="F20" s="100">
        <v>2019</v>
      </c>
      <c r="G20" s="100">
        <v>2020</v>
      </c>
      <c r="H20" s="100">
        <v>2021</v>
      </c>
      <c r="I20" s="100">
        <v>2022</v>
      </c>
      <c r="J20" s="100">
        <v>2023</v>
      </c>
      <c r="K20" s="100">
        <v>2024</v>
      </c>
      <c r="L20" s="100">
        <v>2025</v>
      </c>
      <c r="M20" s="102">
        <v>2026</v>
      </c>
      <c r="N20" s="102">
        <v>2027</v>
      </c>
      <c r="O20" s="100">
        <v>2028</v>
      </c>
      <c r="P20" s="100">
        <v>2029</v>
      </c>
      <c r="Q20" s="112">
        <v>2030</v>
      </c>
    </row>
    <row r="21" spans="2:17" x14ac:dyDescent="0.35">
      <c r="B21" s="113" t="s">
        <v>227</v>
      </c>
      <c r="Q21" s="114"/>
    </row>
    <row r="22" spans="2:17" x14ac:dyDescent="0.35">
      <c r="B22" s="113" t="s">
        <v>206</v>
      </c>
      <c r="C22" s="131"/>
      <c r="D22" s="131"/>
      <c r="E22" s="37">
        <f t="array" ref="E22:K22">TRANSPOSE('Breakdown by Segments'!F6:F14)</f>
        <v>86516.000000000015</v>
      </c>
      <c r="F22" s="37">
        <v>102174</v>
      </c>
      <c r="G22" s="37">
        <v>108546</v>
      </c>
      <c r="H22" s="37">
        <v>122958</v>
      </c>
      <c r="I22" s="37">
        <v>133405</v>
      </c>
      <c r="J22" s="37">
        <v>118280</v>
      </c>
      <c r="K22" s="37">
        <v>134340.99999999997</v>
      </c>
      <c r="L22" s="37">
        <f>K22*(1+'DCF Model'!K37)</f>
        <v>154902.39750387101</v>
      </c>
      <c r="M22" s="37">
        <f>L22*(1+'DCF Model'!L37)</f>
        <v>180552.40787149052</v>
      </c>
      <c r="N22" s="37">
        <f>M22*(1+'DCF Model'!M37)</f>
        <v>207379.53122509032</v>
      </c>
      <c r="O22" s="37">
        <f>N22*(1+'DCF Model'!N37)</f>
        <v>239529.28266978954</v>
      </c>
      <c r="P22" s="37">
        <f>O22*(1+'DCF Model'!O37)</f>
        <v>283209.63787418685</v>
      </c>
      <c r="Q22" s="115">
        <f>P22*(1+'DCF Model'!P37)</f>
        <v>352558.73121955508</v>
      </c>
    </row>
    <row r="23" spans="2:17" x14ac:dyDescent="0.35">
      <c r="B23" s="116" t="s">
        <v>230</v>
      </c>
      <c r="C23" s="131"/>
      <c r="D23" s="131"/>
      <c r="E23" s="103"/>
      <c r="F23" s="104">
        <f>'DCF Model'!E34</f>
        <v>0.18098276656014756</v>
      </c>
      <c r="G23" s="104">
        <f>'DCF Model'!F34</f>
        <v>6.2361857946711119E-2</v>
      </c>
      <c r="H23" s="104">
        <f>'DCF Model'!G34</f>
        <v>0.132773974413678</v>
      </c>
      <c r="I23" s="104">
        <f>'DCF Model'!H34</f>
        <v>8.4961226375625865E-2</v>
      </c>
      <c r="J23" s="104">
        <f>'DCF Model'!I34</f>
        <v>-0.11337666767457932</v>
      </c>
      <c r="K23" s="104">
        <f>'DCF Model'!J34</f>
        <v>0.13579128440367971</v>
      </c>
      <c r="L23" s="104">
        <f>'DCF Model'!K37</f>
        <v>0.15305377735665987</v>
      </c>
      <c r="M23" s="104">
        <f>'DCF Model'!L37</f>
        <v>0.16558820767753801</v>
      </c>
      <c r="N23" s="104">
        <f>'DCF Model'!M37</f>
        <v>0.14858358118765289</v>
      </c>
      <c r="O23" s="104">
        <f>'DCF Model'!N37</f>
        <v>0.15502856648761429</v>
      </c>
      <c r="P23" s="104">
        <f>'DCF Model'!O37</f>
        <v>0.18235914505958015</v>
      </c>
      <c r="Q23" s="117">
        <f>'DCF Model'!P37</f>
        <v>0.24486840866685436</v>
      </c>
    </row>
    <row r="24" spans="2:17" x14ac:dyDescent="0.35">
      <c r="B24" s="113" t="s">
        <v>231</v>
      </c>
      <c r="C24" s="131"/>
      <c r="D24" s="131"/>
      <c r="E24" s="105">
        <f>'DCF Model'!D43</f>
        <v>4.3016322574810743E-2</v>
      </c>
      <c r="F24" s="105">
        <f>'DCF Model'!E43</f>
        <v>4.8651313339142452E-2</v>
      </c>
      <c r="G24" s="105">
        <f>'DCF Model'!F43</f>
        <v>4.9293880998870616E-2</v>
      </c>
      <c r="H24" s="105">
        <f>'DCF Model'!G43</f>
        <v>5.2082547579641467E-2</v>
      </c>
      <c r="I24" s="105">
        <f>'DCF Model'!H43</f>
        <v>4.880184047452641E-2</v>
      </c>
      <c r="J24" s="105">
        <f>'DCF Model'!I43</f>
        <v>8.7816120480299076E-3</v>
      </c>
      <c r="K24" s="105">
        <f>'DCF Model'!J43</f>
        <v>3.8654401991044862E-2</v>
      </c>
      <c r="L24" s="105">
        <f>'DCF Model'!K46</f>
        <v>4.3392287850909969E-2</v>
      </c>
      <c r="M24" s="105">
        <f>'DCF Model'!L46</f>
        <v>4.3138737729104072E-2</v>
      </c>
      <c r="N24" s="105">
        <f>'DCF Model'!M46</f>
        <v>4.2003717546676138E-2</v>
      </c>
      <c r="O24" s="105">
        <f>'DCF Model'!N46</f>
        <v>4.0610166474942144E-2</v>
      </c>
      <c r="P24" s="105">
        <f>'DCF Model'!O46</f>
        <v>3.859923669155909E-2</v>
      </c>
      <c r="Q24" s="118">
        <f>'DCF Model'!P46</f>
        <v>3.6793137290602844E-2</v>
      </c>
    </row>
    <row r="25" spans="2:17" x14ac:dyDescent="0.35">
      <c r="B25" s="113" t="s">
        <v>230</v>
      </c>
      <c r="C25" s="131"/>
      <c r="D25" s="131"/>
      <c r="E25" s="103"/>
      <c r="F25" s="104">
        <f>'DCF Model'!E42/'DCF Model'!D42-1</f>
        <v>0.3339798879675302</v>
      </c>
      <c r="G25" s="104">
        <f>'DCF Model'!F42/'DCF Model'!E42-1</f>
        <v>7.5048710909445981E-2</v>
      </c>
      <c r="H25" s="104">
        <f>'DCF Model'!G42/'DCF Model'!F42-1</f>
        <v>0.19456280121249359</v>
      </c>
      <c r="I25" s="104">
        <f>'DCF Model'!H42/'DCF Model'!G42-1</f>
        <v>1.6871854661362207E-2</v>
      </c>
      <c r="J25" s="104">
        <f>'DCF Model'!I42/'DCF Model'!H42-1</f>
        <v>-0.84074264110233066</v>
      </c>
      <c r="K25" s="104">
        <f>'DCF Model'!J42/'DCF Model'!I42-1</f>
        <v>3.9920765964682916</v>
      </c>
      <c r="L25" s="104">
        <f>('DCF Model'!K30*'DCF Model'!K46)/'DCF Model'!J42-1</f>
        <v>0.28620244841845444</v>
      </c>
      <c r="M25" s="104">
        <f>('DCF Model'!L30*'DCF Model'!L46)/('DCF Model'!K30*'DCF Model'!K46)-1</f>
        <v>0.15093835629142016</v>
      </c>
      <c r="N25" s="104">
        <f>('DCF Model'!M30*'DCF Model'!M46)/('DCF Model'!L30*'DCF Model'!L46)-1</f>
        <v>0.11147403427778957</v>
      </c>
      <c r="O25" s="104">
        <f>('DCF Model'!N30*'DCF Model'!N46)/('DCF Model'!M30*'DCF Model'!M46)-1</f>
        <v>0.10957096521942233</v>
      </c>
      <c r="P25" s="104">
        <f>('DCF Model'!O30*'DCF Model'!O46)/('DCF Model'!N30*'DCF Model'!N46)-1</f>
        <v>0.11555744729031248</v>
      </c>
      <c r="Q25" s="117">
        <f>('DCF Model'!P30*'DCF Model'!P46)/('DCF Model'!O30*'DCF Model'!O46)-1</f>
        <v>0.17550489192673724</v>
      </c>
    </row>
    <row r="26" spans="2:17" x14ac:dyDescent="0.35">
      <c r="B26" s="113" t="s">
        <v>232</v>
      </c>
      <c r="C26" s="131"/>
      <c r="D26" s="131"/>
      <c r="E26" s="27">
        <f>'DCF Model'!D52</f>
        <v>3.2372898917834063E-2</v>
      </c>
      <c r="F26" s="27">
        <f>'DCF Model'!E52</f>
        <v>3.6588188066702727E-2</v>
      </c>
      <c r="G26" s="27">
        <f>'DCF Model'!F52</f>
        <v>3.4736544288287832E-2</v>
      </c>
      <c r="H26" s="27">
        <f>'DCF Model'!G52</f>
        <v>3.8928402045998928E-2</v>
      </c>
      <c r="I26" s="27">
        <f>'DCF Model'!H52</f>
        <v>3.5492985961575935E-2</v>
      </c>
      <c r="J26" s="27">
        <f>'DCF Model'!I52</f>
        <v>5.1479462738177632E-3</v>
      </c>
      <c r="K26" s="27">
        <f>'DCF Model'!J52</f>
        <v>2.916994160167365E-2</v>
      </c>
      <c r="L26" s="27">
        <f>'DCF Model'!K55</f>
        <v>3.1148733190245248E-2</v>
      </c>
      <c r="M26" s="27">
        <f>'DCF Model'!L55</f>
        <v>3.0752681765185398E-2</v>
      </c>
      <c r="N26" s="27">
        <f>'DCF Model'!M55</f>
        <v>2.9708504791780641E-2</v>
      </c>
      <c r="O26" s="27">
        <f>'DCF Model'!N55</f>
        <v>2.8737954318979159E-2</v>
      </c>
      <c r="P26" s="27">
        <f>'DCF Model'!O55</f>
        <v>2.7095544207490885E-2</v>
      </c>
      <c r="Q26" s="119">
        <f>'DCF Model'!P55</f>
        <v>2.5694645241735141E-2</v>
      </c>
    </row>
    <row r="27" spans="2:17" ht="15" thickBot="1" x14ac:dyDescent="0.4">
      <c r="B27" s="120" t="s">
        <v>230</v>
      </c>
      <c r="C27" s="132"/>
      <c r="D27" s="132"/>
      <c r="E27" s="121"/>
      <c r="F27" s="122">
        <f>'DCF Model'!E51/'DCF Model'!D51-1</f>
        <v>0.33305265783281413</v>
      </c>
      <c r="G27" s="122">
        <f>'DCF Model'!F51/'DCF Model'!E51-1</f>
        <v>7.3384410300822989E-3</v>
      </c>
      <c r="H27" s="122">
        <f>'DCF Model'!G51/'DCF Model'!F51-1</f>
        <v>0.26703830745826163</v>
      </c>
      <c r="I27" s="122">
        <f>'DCF Model'!H51/'DCF Model'!G51-1</f>
        <v>-1.0540082997672284E-2</v>
      </c>
      <c r="J27" s="122">
        <f>'DCF Model'!I51/'DCF Model'!H51-1</f>
        <v>-0.87163313599095527</v>
      </c>
      <c r="K27" s="122">
        <f>'DCF Model'!J51/'DCF Model'!I51-1</f>
        <v>5.4262568892168348</v>
      </c>
      <c r="L27" s="122">
        <f>('DCF Model'!K30*'DCF Model'!K55)/'DCF Model'!J51-1</f>
        <v>0.22349041404839998</v>
      </c>
      <c r="M27" s="122">
        <f>('DCF Model'!L30*'DCF Model'!L55)/('DCF Model'!K30*'DCF Model'!K55)-1</f>
        <v>0.14298303592086881</v>
      </c>
      <c r="N27" s="122">
        <f>('DCF Model'!M30*'DCF Model'!M55)/('DCF Model'!L30*'DCF Model'!L55)-1</f>
        <v>0.10274938859925631</v>
      </c>
      <c r="O27" s="122">
        <f>('DCF Model'!N30*'DCF Model'!N55)/('DCF Model'!M30*'DCF Model'!M55)-1</f>
        <v>0.11015366970307494</v>
      </c>
      <c r="P27" s="122">
        <f>('DCF Model'!O30*'DCF Model'!O55)/('DCF Model'!N30*'DCF Model'!N55)-1</f>
        <v>0.10659835732802025</v>
      </c>
      <c r="Q27" s="123">
        <f>('DCF Model'!P30*'DCF Model'!P55)/('DCF Model'!O30*'DCF Model'!O55)-1</f>
        <v>0.16944845391209684</v>
      </c>
    </row>
    <row r="32" spans="2:17" ht="19" thickBot="1" x14ac:dyDescent="0.5">
      <c r="H32" s="124" t="s">
        <v>237</v>
      </c>
    </row>
    <row r="33" spans="2:17" ht="15" thickBot="1" x14ac:dyDescent="0.4">
      <c r="B33" s="106"/>
      <c r="C33" s="107"/>
      <c r="D33" s="107"/>
      <c r="E33" s="107"/>
      <c r="F33" s="107"/>
      <c r="G33" s="107"/>
      <c r="H33" s="107"/>
      <c r="I33" s="107"/>
      <c r="J33" s="107"/>
      <c r="K33" s="107"/>
      <c r="L33" s="108"/>
      <c r="M33" s="109"/>
      <c r="N33" s="109" t="s">
        <v>233</v>
      </c>
      <c r="O33" s="108"/>
      <c r="P33" s="108"/>
      <c r="Q33" s="110"/>
    </row>
    <row r="34" spans="2:17" ht="15" thickTop="1" x14ac:dyDescent="0.35">
      <c r="B34" s="111" t="s">
        <v>226</v>
      </c>
      <c r="C34" s="100" t="s">
        <v>229</v>
      </c>
      <c r="D34" s="100"/>
      <c r="E34" s="100">
        <v>2018</v>
      </c>
      <c r="F34" s="100">
        <v>2019</v>
      </c>
      <c r="G34" s="100">
        <v>2020</v>
      </c>
      <c r="H34" s="100">
        <v>2021</v>
      </c>
      <c r="I34" s="100">
        <v>2022</v>
      </c>
      <c r="J34" s="100">
        <v>2023</v>
      </c>
      <c r="K34" s="100">
        <v>2024</v>
      </c>
      <c r="L34" s="100">
        <v>2025</v>
      </c>
      <c r="M34" s="102">
        <v>2026</v>
      </c>
      <c r="N34" s="102">
        <v>2027</v>
      </c>
      <c r="O34" s="100">
        <v>2028</v>
      </c>
      <c r="P34" s="100">
        <v>2029</v>
      </c>
      <c r="Q34" s="112">
        <v>2030</v>
      </c>
    </row>
    <row r="35" spans="2:17" x14ac:dyDescent="0.35">
      <c r="B35" s="113" t="s">
        <v>227</v>
      </c>
      <c r="Q35" s="114"/>
    </row>
    <row r="36" spans="2:17" x14ac:dyDescent="0.35">
      <c r="B36" s="113" t="s">
        <v>206</v>
      </c>
      <c r="C36" s="131"/>
      <c r="D36" s="131"/>
      <c r="E36" s="37">
        <f t="array" ref="E36:K36">TRANSPOSE('Breakdown by Segments'!F6:F13)</f>
        <v>86516.000000000015</v>
      </c>
      <c r="F36" s="37">
        <v>102174</v>
      </c>
      <c r="G36" s="37">
        <v>108546</v>
      </c>
      <c r="H36" s="37">
        <v>122958</v>
      </c>
      <c r="I36" s="37">
        <v>133405</v>
      </c>
      <c r="J36" s="37">
        <v>118280</v>
      </c>
      <c r="K36" s="37">
        <v>134340.99999999997</v>
      </c>
      <c r="L36" s="37">
        <f>K36*(1+'DCF Model'!K35)</f>
        <v>151965.055003318</v>
      </c>
      <c r="M36" s="37">
        <f>L36*(1+'DCF Model'!L31)</f>
        <v>175930.40842009697</v>
      </c>
      <c r="N36" s="37">
        <f>M36*(1+'DCF Model'!M31)</f>
        <v>200825.99901330116</v>
      </c>
      <c r="O36" s="37">
        <f>N36*(1+'DCF Model'!N31)</f>
        <v>230477.20543280127</v>
      </c>
      <c r="P36" s="37">
        <f>O36*(1+'DCF Model'!O31)</f>
        <v>270505.42080275068</v>
      </c>
      <c r="Q36" s="115">
        <f>P36*(1+'DCF Model'!P31)</f>
        <v>333589.4512101101</v>
      </c>
    </row>
    <row r="37" spans="2:17" x14ac:dyDescent="0.35">
      <c r="B37" s="116" t="s">
        <v>230</v>
      </c>
      <c r="C37" s="131"/>
      <c r="D37" s="131"/>
      <c r="E37" s="103"/>
      <c r="F37" s="104">
        <f>'DCF Model'!E31</f>
        <v>0.17947297268445395</v>
      </c>
      <c r="G37" s="104">
        <f>'DCF Model'!F31</f>
        <v>6.1034972890346095E-2</v>
      </c>
      <c r="H37" s="104">
        <f>'DCF Model'!G31</f>
        <v>0.13060207891335174</v>
      </c>
      <c r="I37" s="104">
        <f>'DCF Model'!H31</f>
        <v>8.5231135502837896E-2</v>
      </c>
      <c r="J37" s="104">
        <f>'DCF Model'!I31</f>
        <v>-0.11496292698764088</v>
      </c>
      <c r="K37" s="104">
        <f>'DCF Model'!J31</f>
        <v>0.13411352203534865</v>
      </c>
      <c r="L37" s="104">
        <f>'DCF Model'!K35</f>
        <v>0.13118895201999417</v>
      </c>
      <c r="M37" s="104">
        <f>'DCF Model'!L35</f>
        <v>0.14193274943788972</v>
      </c>
      <c r="N37" s="104">
        <f>'DCF Model'!M35</f>
        <v>0.12735735530370249</v>
      </c>
      <c r="O37" s="104">
        <f>'DCF Model'!N35</f>
        <v>0.13288162841795512</v>
      </c>
      <c r="P37" s="104">
        <f>'DCF Model'!O35</f>
        <v>0.15630783862249728</v>
      </c>
      <c r="Q37" s="117">
        <f>'DCF Model'!P35</f>
        <v>0.20988720742873232</v>
      </c>
    </row>
    <row r="38" spans="2:17" x14ac:dyDescent="0.35">
      <c r="B38" s="113" t="s">
        <v>231</v>
      </c>
      <c r="C38" s="131"/>
      <c r="D38" s="131"/>
      <c r="E38" s="105">
        <f>'DCF Model'!D43</f>
        <v>4.3016322574810743E-2</v>
      </c>
      <c r="F38" s="105">
        <f>'DCF Model'!E43</f>
        <v>4.8651313339142452E-2</v>
      </c>
      <c r="G38" s="105">
        <f>'DCF Model'!F43</f>
        <v>4.9293880998870616E-2</v>
      </c>
      <c r="H38" s="105">
        <f>'DCF Model'!G43</f>
        <v>5.2082547579641467E-2</v>
      </c>
      <c r="I38" s="105">
        <f>'DCF Model'!H43</f>
        <v>4.880184047452641E-2</v>
      </c>
      <c r="J38" s="105">
        <f>'DCF Model'!I43</f>
        <v>8.7816120480299076E-3</v>
      </c>
      <c r="K38" s="105">
        <f>'DCF Model'!J43</f>
        <v>3.8654401991044862E-2</v>
      </c>
      <c r="L38" s="105">
        <f>'DCF Model'!K44</f>
        <v>3.7193389586494256E-2</v>
      </c>
      <c r="M38" s="105">
        <f>'DCF Model'!L44</f>
        <v>3.6976060910660635E-2</v>
      </c>
      <c r="N38" s="105">
        <f>'DCF Model'!M44</f>
        <v>3.600318646857955E-2</v>
      </c>
      <c r="O38" s="105">
        <f>'DCF Model'!N44</f>
        <v>3.4808714121378981E-2</v>
      </c>
      <c r="P38" s="105">
        <f>'DCF Model'!O44</f>
        <v>3.3085060021336363E-2</v>
      </c>
      <c r="Q38" s="118">
        <f>'DCF Model'!P44</f>
        <v>3.1536974820516726E-2</v>
      </c>
    </row>
    <row r="39" spans="2:17" x14ac:dyDescent="0.35">
      <c r="B39" s="113" t="s">
        <v>230</v>
      </c>
      <c r="C39" s="131"/>
      <c r="D39" s="131"/>
      <c r="E39" s="103"/>
      <c r="F39" s="104">
        <f>'DCF Model'!E42/'DCF Model'!D42-1</f>
        <v>0.3339798879675302</v>
      </c>
      <c r="G39" s="104">
        <f>'DCF Model'!F42/'DCF Model'!E42-1</f>
        <v>7.5048710909445981E-2</v>
      </c>
      <c r="H39" s="104">
        <f>'DCF Model'!G42/'DCF Model'!F42-1</f>
        <v>0.19456280121249359</v>
      </c>
      <c r="I39" s="104">
        <f>'DCF Model'!H42/'DCF Model'!G42-1</f>
        <v>1.6871854661362207E-2</v>
      </c>
      <c r="J39" s="104">
        <f>'DCF Model'!I42/'DCF Model'!H42-1</f>
        <v>-0.84074264110233066</v>
      </c>
      <c r="K39" s="104">
        <f>'DCF Model'!J42/'DCF Model'!I42-1</f>
        <v>3.9920765964682916</v>
      </c>
      <c r="L39" s="104">
        <f>('DCF Model'!K30*'DCF Model'!K44)/'DCF Model'!J42-1</f>
        <v>0.10245924150153218</v>
      </c>
      <c r="M39" s="104">
        <f>('DCF Model'!L30*'DCF Model'!L44)/('DCF Model'!K30*'DCF Model'!K44)-1</f>
        <v>0.15093835629142016</v>
      </c>
      <c r="N39" s="104">
        <f>('DCF Model'!M30*'DCF Model'!M44)/('DCF Model'!L30*'DCF Model'!L44)-1</f>
        <v>0.11147403427778957</v>
      </c>
      <c r="O39" s="104">
        <f>('DCF Model'!N30*'DCF Model'!N44)/('DCF Model'!M30*'DCF Model'!M44)-1</f>
        <v>0.10957096521942233</v>
      </c>
      <c r="P39" s="104">
        <f>('DCF Model'!O30*'DCF Model'!O44)/('DCF Model'!N30*'DCF Model'!N44)-1</f>
        <v>0.11555744729031225</v>
      </c>
      <c r="Q39" s="117">
        <f>('DCF Model'!P30*'DCF Model'!P44)/('DCF Model'!O30*'DCF Model'!O44)-1</f>
        <v>0.17550489192673724</v>
      </c>
    </row>
    <row r="40" spans="2:17" x14ac:dyDescent="0.35">
      <c r="B40" s="113" t="s">
        <v>232</v>
      </c>
      <c r="C40" s="131"/>
      <c r="D40" s="131"/>
      <c r="E40" s="27">
        <f>'DCF Model'!D52</f>
        <v>3.2372898917834063E-2</v>
      </c>
      <c r="F40" s="27">
        <f>'DCF Model'!E52</f>
        <v>3.6588188066702727E-2</v>
      </c>
      <c r="G40" s="27">
        <f>'DCF Model'!F52</f>
        <v>3.4736544288287832E-2</v>
      </c>
      <c r="H40" s="27">
        <f>'DCF Model'!G52</f>
        <v>3.8928402045998928E-2</v>
      </c>
      <c r="I40" s="27">
        <f>'DCF Model'!H52</f>
        <v>3.5492985961575935E-2</v>
      </c>
      <c r="J40" s="27">
        <f>'DCF Model'!I52</f>
        <v>5.1479462738177632E-3</v>
      </c>
      <c r="K40" s="27">
        <f>'DCF Model'!J52</f>
        <v>2.916994160167365E-2</v>
      </c>
      <c r="L40" s="27">
        <f>'DCF Model'!K53</f>
        <v>2.6698914163067355E-2</v>
      </c>
      <c r="M40" s="27">
        <f>'DCF Model'!L53</f>
        <v>2.6359441513016054E-2</v>
      </c>
      <c r="N40" s="27">
        <f>'DCF Model'!M53</f>
        <v>2.546443267866912E-2</v>
      </c>
      <c r="O40" s="27">
        <f>'DCF Model'!N53</f>
        <v>2.4632532273410706E-2</v>
      </c>
      <c r="P40" s="27">
        <f>'DCF Model'!O53</f>
        <v>2.322475217784933E-2</v>
      </c>
      <c r="Q40" s="119">
        <f>'DCF Model'!P53</f>
        <v>2.2023981635772977E-2</v>
      </c>
    </row>
    <row r="41" spans="2:17" ht="15" thickBot="1" x14ac:dyDescent="0.4">
      <c r="B41" s="120" t="s">
        <v>230</v>
      </c>
      <c r="C41" s="132"/>
      <c r="D41" s="132"/>
      <c r="E41" s="121"/>
      <c r="F41" s="122">
        <f>F40/E40-1</f>
        <v>0.13021043186671433</v>
      </c>
      <c r="G41" s="122">
        <f>G40/F40-1</f>
        <v>-5.0607692707800189E-2</v>
      </c>
      <c r="H41" s="122">
        <f t="shared" ref="H41" si="0">H40/G40-1</f>
        <v>0.12067572764065848</v>
      </c>
      <c r="I41" s="122">
        <f t="shared" ref="I41" si="1">I40/H40-1</f>
        <v>-8.824960450119701E-2</v>
      </c>
      <c r="J41" s="122">
        <f t="shared" ref="J41" si="2">J40/I40-1</f>
        <v>-0.85495877187141045</v>
      </c>
      <c r="K41" s="122">
        <f t="shared" ref="K41" si="3">K40/J40-1</f>
        <v>4.6663259579904199</v>
      </c>
      <c r="L41" s="122">
        <f>('DCF Model'!K30*'DCF Model'!K53)/'DCF Model'!J51-1</f>
        <v>4.8706069184342837E-2</v>
      </c>
      <c r="M41" s="122">
        <f>('DCF Model'!L30*'DCF Model'!L53)/('DCF Model'!K30*'DCF Model'!K53)-1</f>
        <v>0.14298303592086881</v>
      </c>
      <c r="N41" s="122">
        <f>('DCF Model'!M30*'DCF Model'!M53)/('DCF Model'!L30*'DCF Model'!L53)-1</f>
        <v>0.10274938859925631</v>
      </c>
      <c r="O41" s="122">
        <f>('DCF Model'!N30*'DCF Model'!N53)/('DCF Model'!M30*'DCF Model'!M53)-1</f>
        <v>0.11015366970307494</v>
      </c>
      <c r="P41" s="122">
        <f>('DCF Model'!O30*'DCF Model'!O53)/('DCF Model'!N30*'DCF Model'!N53)-1</f>
        <v>0.10659835732802025</v>
      </c>
      <c r="Q41" s="123">
        <f>('DCF Model'!P30*'DCF Model'!P53)/('DCF Model'!O30*'DCF Model'!O53)-1</f>
        <v>0.16944845391209684</v>
      </c>
    </row>
  </sheetData>
  <mergeCells count="9">
    <mergeCell ref="C8:D9"/>
    <mergeCell ref="C10:D11"/>
    <mergeCell ref="C12:D13"/>
    <mergeCell ref="C38:D39"/>
    <mergeCell ref="C40:D41"/>
    <mergeCell ref="C22:D23"/>
    <mergeCell ref="C24:D25"/>
    <mergeCell ref="C26:D27"/>
    <mergeCell ref="C36:D37"/>
  </mergeCells>
  <pageMargins left="0.7" right="0.7" top="0.75" bottom="0.75" header="0.3" footer="0.3"/>
  <pageSetup scale="53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47C7DED-AC3E-456D-814E-184E8CEA05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Summary'!E8:Q8</xm:f>
              <xm:sqref>C8</xm:sqref>
            </x14:sparkline>
          </x14:sparklines>
        </x14:sparklineGroup>
        <x14:sparklineGroup displayEmptyCellsAs="gap" xr2:uid="{E4579EFF-F8B0-4E49-9C6E-6D3C81DEC4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Summary'!E10:Q10</xm:f>
              <xm:sqref>C10</xm:sqref>
            </x14:sparkline>
          </x14:sparklines>
        </x14:sparklineGroup>
        <x14:sparklineGroup displayEmptyCellsAs="gap" xr2:uid="{7D301AA1-B2ED-4771-806B-D8944DE607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Summary'!E12:Q12</xm:f>
              <xm:sqref>C12</xm:sqref>
            </x14:sparkline>
          </x14:sparklines>
        </x14:sparklineGroup>
        <x14:sparklineGroup displayEmptyCellsAs="gap" xr2:uid="{E9660F48-2C9A-4A5D-925F-C3C51A7C25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Summary'!E36:Q36</xm:f>
              <xm:sqref>C36</xm:sqref>
            </x14:sparkline>
          </x14:sparklines>
        </x14:sparklineGroup>
        <x14:sparklineGroup displayEmptyCellsAs="gap" xr2:uid="{A7C6B3DD-1714-4761-842B-E83F95D62A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Summary'!E40:Q40</xm:f>
              <xm:sqref>C40</xm:sqref>
            </x14:sparkline>
          </x14:sparklines>
        </x14:sparklineGroup>
        <x14:sparklineGroup displayEmptyCellsAs="gap" xr2:uid="{9FC6A4D0-1E70-4649-92B0-4AAE20EEE5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Summary'!E38:Q38</xm:f>
              <xm:sqref>C38</xm:sqref>
            </x14:sparkline>
          </x14:sparklines>
        </x14:sparklineGroup>
        <x14:sparklineGroup displayEmptyCellsAs="gap" xr2:uid="{960F5782-5E4E-4942-BFE0-55DB8E1D78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Summary'!E22:Q22</xm:f>
              <xm:sqref>C22</xm:sqref>
            </x14:sparkline>
          </x14:sparklines>
        </x14:sparklineGroup>
        <x14:sparklineGroup displayEmptyCellsAs="gap" xr2:uid="{4CE113C9-A6D1-4003-95BB-6E5B249D55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Summary'!E24:Q24</xm:f>
              <xm:sqref>C24</xm:sqref>
            </x14:sparkline>
          </x14:sparklines>
        </x14:sparklineGroup>
        <x14:sparklineGroup displayEmptyCellsAs="gap" xr2:uid="{E370A8C5-9553-41A3-B7D3-937B9CF7FD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 Summary'!E26:Q26</xm:f>
              <xm:sqref>C26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7"/>
  <sheetViews>
    <sheetView showGridLines="0" workbookViewId="0">
      <selection activeCell="E13" sqref="A3:E13"/>
    </sheetView>
  </sheetViews>
  <sheetFormatPr defaultRowHeight="14.5" x14ac:dyDescent="0.35"/>
  <cols>
    <col min="1" max="1" width="8.81640625" bestFit="1" customWidth="1"/>
    <col min="3" max="3" width="17.54296875" customWidth="1"/>
    <col min="4" max="4" width="25.36328125" customWidth="1"/>
    <col min="5" max="5" width="27" customWidth="1"/>
    <col min="6" max="6" width="26.453125" customWidth="1"/>
    <col min="7" max="7" width="19.6328125" bestFit="1" customWidth="1"/>
    <col min="8" max="8" width="20.6328125" bestFit="1" customWidth="1"/>
    <col min="9" max="9" width="19.6328125" bestFit="1" customWidth="1"/>
    <col min="10" max="10" width="20.6328125" bestFit="1" customWidth="1"/>
    <col min="11" max="11" width="16.08984375" bestFit="1" customWidth="1"/>
    <col min="12" max="12" width="19.6328125" bestFit="1" customWidth="1"/>
    <col min="13" max="13" width="18.1796875" bestFit="1" customWidth="1"/>
    <col min="14" max="14" width="17.1796875" bestFit="1" customWidth="1"/>
    <col min="15" max="15" width="18.1796875" bestFit="1" customWidth="1"/>
    <col min="16" max="18" width="20.6328125" bestFit="1" customWidth="1"/>
    <col min="19" max="19" width="19.6328125" bestFit="1" customWidth="1"/>
    <col min="20" max="21" width="20.6328125" bestFit="1" customWidth="1"/>
    <col min="22" max="22" width="16.08984375" bestFit="1" customWidth="1"/>
    <col min="23" max="23" width="20.6328125" bestFit="1" customWidth="1"/>
    <col min="24" max="24" width="18.1796875" bestFit="1" customWidth="1"/>
    <col min="25" max="25" width="20.6328125" bestFit="1" customWidth="1"/>
    <col min="26" max="26" width="18.1796875" bestFit="1" customWidth="1"/>
    <col min="27" max="27" width="19.6328125" bestFit="1" customWidth="1"/>
    <col min="28" max="28" width="20.6328125" bestFit="1" customWidth="1"/>
    <col min="29" max="29" width="16.08984375" bestFit="1" customWidth="1"/>
    <col min="30" max="31" width="20.6328125" bestFit="1" customWidth="1"/>
    <col min="32" max="32" width="19.6328125" bestFit="1" customWidth="1"/>
    <col min="33" max="33" width="17.1796875" bestFit="1" customWidth="1"/>
    <col min="34" max="34" width="20.6328125" bestFit="1" customWidth="1"/>
    <col min="35" max="38" width="18.1796875" bestFit="1" customWidth="1"/>
  </cols>
  <sheetData>
    <row r="1" spans="1:38" s="5" customFormat="1" ht="19" thickBot="1" x14ac:dyDescent="0.5">
      <c r="A1" s="85" t="s">
        <v>215</v>
      </c>
    </row>
    <row r="3" spans="1:38" x14ac:dyDescent="0.35">
      <c r="A3" s="37"/>
      <c r="B3" s="87" t="s">
        <v>0</v>
      </c>
      <c r="C3" s="87" t="s">
        <v>1</v>
      </c>
      <c r="D3" s="87" t="s">
        <v>2</v>
      </c>
      <c r="E3" s="87" t="s">
        <v>3</v>
      </c>
      <c r="F3" s="87" t="s">
        <v>4</v>
      </c>
      <c r="G3" s="87" t="s">
        <v>5</v>
      </c>
      <c r="H3" s="87" t="s">
        <v>6</v>
      </c>
      <c r="I3" s="87" t="s">
        <v>7</v>
      </c>
      <c r="J3" s="87" t="s">
        <v>8</v>
      </c>
      <c r="K3" s="87" t="s">
        <v>9</v>
      </c>
      <c r="L3" s="87" t="s">
        <v>10</v>
      </c>
      <c r="M3" s="87" t="s">
        <v>11</v>
      </c>
      <c r="N3" s="87" t="s">
        <v>12</v>
      </c>
      <c r="O3" s="87" t="s">
        <v>13</v>
      </c>
      <c r="P3" s="87" t="s">
        <v>14</v>
      </c>
      <c r="Q3" s="87" t="s">
        <v>15</v>
      </c>
      <c r="R3" s="87" t="s">
        <v>16</v>
      </c>
      <c r="S3" s="87" t="s">
        <v>17</v>
      </c>
      <c r="T3" s="87" t="s">
        <v>18</v>
      </c>
      <c r="U3" s="87" t="s">
        <v>19</v>
      </c>
      <c r="V3" s="87" t="s">
        <v>20</v>
      </c>
      <c r="W3" s="87" t="s">
        <v>21</v>
      </c>
      <c r="X3" s="87" t="s">
        <v>22</v>
      </c>
      <c r="Y3" s="87" t="s">
        <v>23</v>
      </c>
      <c r="Z3" s="87" t="s">
        <v>24</v>
      </c>
      <c r="AA3" s="87" t="s">
        <v>25</v>
      </c>
      <c r="AB3" s="87" t="s">
        <v>26</v>
      </c>
      <c r="AC3" s="87" t="s">
        <v>27</v>
      </c>
      <c r="AD3" s="87" t="s">
        <v>28</v>
      </c>
      <c r="AE3" s="87" t="s">
        <v>29</v>
      </c>
      <c r="AF3" s="87" t="s">
        <v>30</v>
      </c>
      <c r="AG3" s="87" t="s">
        <v>31</v>
      </c>
      <c r="AH3" s="87" t="s">
        <v>32</v>
      </c>
      <c r="AI3" s="87" t="s">
        <v>33</v>
      </c>
      <c r="AJ3" s="87" t="s">
        <v>34</v>
      </c>
      <c r="AK3" s="87" t="s">
        <v>35</v>
      </c>
      <c r="AL3" s="87" t="s">
        <v>36</v>
      </c>
    </row>
    <row r="4" spans="1:38" x14ac:dyDescent="0.35">
      <c r="A4" s="87">
        <v>1</v>
      </c>
      <c r="B4" s="7" t="s">
        <v>37</v>
      </c>
      <c r="C4" s="7">
        <v>2013</v>
      </c>
      <c r="D4" s="7">
        <v>1909084643229</v>
      </c>
      <c r="E4" s="7">
        <v>304733768468</v>
      </c>
      <c r="F4" s="7">
        <v>0</v>
      </c>
      <c r="G4" s="7">
        <v>247310873457</v>
      </c>
      <c r="H4" s="7">
        <v>1288949605087</v>
      </c>
      <c r="I4" s="7">
        <v>68090396217</v>
      </c>
      <c r="J4" s="7">
        <v>322791455377</v>
      </c>
      <c r="K4" s="7">
        <v>0</v>
      </c>
      <c r="L4" s="7">
        <v>275039772239</v>
      </c>
      <c r="M4" s="7">
        <v>0</v>
      </c>
      <c r="N4" s="7">
        <v>698432896</v>
      </c>
      <c r="O4" s="7">
        <v>47053250242</v>
      </c>
      <c r="P4" s="7">
        <v>2231876098606</v>
      </c>
      <c r="Q4" s="7">
        <v>1407239941555</v>
      </c>
      <c r="R4" s="7">
        <v>1407239941555</v>
      </c>
      <c r="S4" s="7">
        <v>0</v>
      </c>
      <c r="T4" s="7">
        <v>800283880305</v>
      </c>
      <c r="U4" s="7">
        <v>800283880305</v>
      </c>
      <c r="V4" s="7">
        <v>1130494084</v>
      </c>
      <c r="W4" s="7">
        <v>538007977935</v>
      </c>
      <c r="X4" s="7">
        <v>0</v>
      </c>
      <c r="Y4" s="7">
        <v>2231876098606</v>
      </c>
      <c r="Z4" s="7">
        <v>37945761587</v>
      </c>
      <c r="AA4" s="7">
        <v>0</v>
      </c>
      <c r="AB4" s="7">
        <v>1304678340679</v>
      </c>
      <c r="AC4" s="7">
        <v>2954626383</v>
      </c>
      <c r="AD4" s="7">
        <v>109567040000</v>
      </c>
      <c r="AE4" s="7">
        <v>109567040000</v>
      </c>
      <c r="AF4" s="7">
        <v>0</v>
      </c>
      <c r="AG4" s="7">
        <v>1565912107</v>
      </c>
      <c r="AH4" s="7">
        <v>513188993447</v>
      </c>
      <c r="AI4" s="7">
        <v>0</v>
      </c>
      <c r="AJ4" s="7">
        <v>5395418925</v>
      </c>
      <c r="AK4" s="7">
        <v>0</v>
      </c>
      <c r="AL4" s="7">
        <v>0</v>
      </c>
    </row>
    <row r="5" spans="1:38" x14ac:dyDescent="0.35">
      <c r="A5" s="87">
        <v>2</v>
      </c>
      <c r="B5" s="7" t="s">
        <v>37</v>
      </c>
      <c r="C5" s="7">
        <v>2014</v>
      </c>
      <c r="D5" s="7">
        <v>2837686622393</v>
      </c>
      <c r="E5" s="7">
        <v>212920620191</v>
      </c>
      <c r="F5" s="7">
        <v>0</v>
      </c>
      <c r="G5" s="7">
        <v>296735549237</v>
      </c>
      <c r="H5" s="7">
        <v>2195306348135</v>
      </c>
      <c r="I5" s="7">
        <v>132724104830</v>
      </c>
      <c r="J5" s="7">
        <v>569512868791</v>
      </c>
      <c r="K5" s="7">
        <v>0</v>
      </c>
      <c r="L5" s="7">
        <v>434419261598</v>
      </c>
      <c r="M5" s="7">
        <v>0</v>
      </c>
      <c r="N5" s="7">
        <v>22546549264</v>
      </c>
      <c r="O5" s="7">
        <v>112547057929</v>
      </c>
      <c r="P5" s="7">
        <v>3407199491184</v>
      </c>
      <c r="Q5" s="7">
        <v>1923190326673</v>
      </c>
      <c r="R5" s="7">
        <v>1923190326673</v>
      </c>
      <c r="S5" s="7">
        <v>0</v>
      </c>
      <c r="T5" s="7">
        <v>1474956147637</v>
      </c>
      <c r="U5" s="7">
        <v>1474956147637</v>
      </c>
      <c r="V5" s="7">
        <v>1130494084</v>
      </c>
      <c r="W5" s="7">
        <v>317840559767</v>
      </c>
      <c r="X5" s="7">
        <v>0</v>
      </c>
      <c r="Y5" s="7">
        <v>3407199491184</v>
      </c>
      <c r="Z5" s="7">
        <v>90846398087</v>
      </c>
      <c r="AA5" s="7">
        <v>0</v>
      </c>
      <c r="AB5" s="7">
        <v>2253516929935</v>
      </c>
      <c r="AC5" s="7">
        <v>5217189550</v>
      </c>
      <c r="AD5" s="7">
        <v>1119567790000</v>
      </c>
      <c r="AE5" s="7">
        <v>1119567790000</v>
      </c>
      <c r="AF5" s="7">
        <v>0</v>
      </c>
      <c r="AG5" s="7">
        <v>8353792068</v>
      </c>
      <c r="AH5" s="7">
        <v>618690305273</v>
      </c>
      <c r="AI5" s="7">
        <v>0</v>
      </c>
      <c r="AJ5" s="7">
        <v>25459480409</v>
      </c>
      <c r="AK5" s="7">
        <v>0</v>
      </c>
      <c r="AL5" s="7">
        <v>0</v>
      </c>
    </row>
    <row r="6" spans="1:38" x14ac:dyDescent="0.35">
      <c r="A6" s="87">
        <v>3</v>
      </c>
      <c r="B6" s="7" t="s">
        <v>37</v>
      </c>
      <c r="C6" s="7">
        <v>2015</v>
      </c>
      <c r="D6" s="7">
        <v>6176432326364</v>
      </c>
      <c r="E6" s="7">
        <v>343872968705</v>
      </c>
      <c r="F6" s="7">
        <v>0</v>
      </c>
      <c r="G6" s="7">
        <v>636322979955</v>
      </c>
      <c r="H6" s="7">
        <v>4932684842299</v>
      </c>
      <c r="I6" s="7">
        <v>263551535405</v>
      </c>
      <c r="J6" s="7">
        <v>1089329907510</v>
      </c>
      <c r="K6" s="7">
        <v>0</v>
      </c>
      <c r="L6" s="7">
        <v>849146989686</v>
      </c>
      <c r="M6" s="7">
        <v>0</v>
      </c>
      <c r="N6" s="7">
        <v>0</v>
      </c>
      <c r="O6" s="7">
        <v>84864286742</v>
      </c>
      <c r="P6" s="7">
        <v>7265762233874</v>
      </c>
      <c r="Q6" s="7">
        <v>4782209545548</v>
      </c>
      <c r="R6" s="7">
        <v>4782209545548</v>
      </c>
      <c r="S6" s="7">
        <v>0</v>
      </c>
      <c r="T6" s="7">
        <v>2483552688326</v>
      </c>
      <c r="U6" s="7">
        <v>2483552688326</v>
      </c>
      <c r="V6" s="7">
        <v>1130494084</v>
      </c>
      <c r="W6" s="7">
        <v>977630195800</v>
      </c>
      <c r="X6" s="7">
        <v>1638854656</v>
      </c>
      <c r="Y6" s="7">
        <v>7265762233874</v>
      </c>
      <c r="Z6" s="7">
        <v>218453419175</v>
      </c>
      <c r="AA6" s="7">
        <v>0</v>
      </c>
      <c r="AB6" s="7">
        <v>5009708492628</v>
      </c>
      <c r="AC6" s="7">
        <v>0</v>
      </c>
      <c r="AD6" s="7">
        <v>1468889740000</v>
      </c>
      <c r="AE6" s="7">
        <v>1468889740000</v>
      </c>
      <c r="AF6" s="7">
        <v>0</v>
      </c>
      <c r="AG6" s="7">
        <v>19297585840</v>
      </c>
      <c r="AH6" s="7">
        <v>2052945972681</v>
      </c>
      <c r="AI6" s="7">
        <v>12525860700</v>
      </c>
      <c r="AJ6" s="7">
        <v>56933695976</v>
      </c>
      <c r="AK6" s="7">
        <v>112464049268</v>
      </c>
      <c r="AL6" s="7">
        <v>112464049268</v>
      </c>
    </row>
    <row r="7" spans="1:38" x14ac:dyDescent="0.35">
      <c r="A7" s="87">
        <v>4</v>
      </c>
      <c r="B7" s="7" t="s">
        <v>37</v>
      </c>
      <c r="C7" s="7">
        <v>2016</v>
      </c>
      <c r="D7" s="7">
        <v>12288439407269</v>
      </c>
      <c r="E7" s="7">
        <v>996983462012</v>
      </c>
      <c r="F7" s="7">
        <v>0</v>
      </c>
      <c r="G7" s="7">
        <v>1410642874572</v>
      </c>
      <c r="H7" s="7">
        <v>9370731749778</v>
      </c>
      <c r="I7" s="7">
        <v>510081320907</v>
      </c>
      <c r="J7" s="7">
        <v>2565823825722</v>
      </c>
      <c r="K7" s="7">
        <v>0</v>
      </c>
      <c r="L7" s="7">
        <v>2096126249031</v>
      </c>
      <c r="M7" s="7">
        <v>0</v>
      </c>
      <c r="N7" s="7">
        <v>0</v>
      </c>
      <c r="O7" s="7">
        <v>209591839137</v>
      </c>
      <c r="P7" s="7">
        <v>14854263232991</v>
      </c>
      <c r="Q7" s="7">
        <v>11012905506628</v>
      </c>
      <c r="R7" s="7">
        <v>11012905506628</v>
      </c>
      <c r="S7" s="7">
        <v>0</v>
      </c>
      <c r="T7" s="7">
        <v>3841357726363</v>
      </c>
      <c r="U7" s="7">
        <v>3841357726363</v>
      </c>
      <c r="V7" s="7">
        <v>1130494084</v>
      </c>
      <c r="W7" s="7">
        <v>2261763398339</v>
      </c>
      <c r="X7" s="7">
        <v>2316030154</v>
      </c>
      <c r="Y7" s="7">
        <v>14854263232991</v>
      </c>
      <c r="Z7" s="7">
        <v>315210181153</v>
      </c>
      <c r="AA7" s="7">
        <v>0</v>
      </c>
      <c r="AB7" s="7">
        <v>9513657569828</v>
      </c>
      <c r="AC7" s="7">
        <v>0</v>
      </c>
      <c r="AD7" s="7">
        <v>1539509270000</v>
      </c>
      <c r="AE7" s="7">
        <v>1539509270000</v>
      </c>
      <c r="AF7" s="7">
        <v>0</v>
      </c>
      <c r="AG7" s="7">
        <v>20044459341</v>
      </c>
      <c r="AH7" s="7">
        <v>4788991746757</v>
      </c>
      <c r="AI7" s="7">
        <v>0</v>
      </c>
      <c r="AJ7" s="7">
        <v>123544885549</v>
      </c>
      <c r="AK7" s="7">
        <v>179685175407</v>
      </c>
      <c r="AL7" s="7">
        <v>179685175407</v>
      </c>
    </row>
    <row r="8" spans="1:38" x14ac:dyDescent="0.35">
      <c r="A8" s="87">
        <v>4</v>
      </c>
      <c r="B8" s="7" t="s">
        <v>37</v>
      </c>
      <c r="C8" s="7">
        <v>2017</v>
      </c>
      <c r="D8" s="7">
        <v>18862861306281</v>
      </c>
      <c r="E8" s="7">
        <v>3410983351393</v>
      </c>
      <c r="F8" s="7">
        <v>0</v>
      </c>
      <c r="G8" s="7">
        <v>2765847815554</v>
      </c>
      <c r="H8" s="7">
        <v>12050162650982</v>
      </c>
      <c r="I8" s="7">
        <v>635867488352</v>
      </c>
      <c r="J8" s="7">
        <v>3959802908939</v>
      </c>
      <c r="K8" s="7">
        <v>0</v>
      </c>
      <c r="L8" s="7">
        <v>3463657994935</v>
      </c>
      <c r="M8" s="7">
        <v>0</v>
      </c>
      <c r="N8" s="7">
        <v>0</v>
      </c>
      <c r="O8" s="7">
        <v>218571537101</v>
      </c>
      <c r="P8" s="7">
        <v>22822664215220</v>
      </c>
      <c r="Q8" s="7">
        <v>16913747880005</v>
      </c>
      <c r="R8" s="7">
        <v>15713814885175</v>
      </c>
      <c r="S8" s="7">
        <v>1199932994830</v>
      </c>
      <c r="T8" s="7">
        <v>5908916335215</v>
      </c>
      <c r="U8" s="7">
        <v>5908916335215</v>
      </c>
      <c r="V8" s="7">
        <v>1130494084</v>
      </c>
      <c r="W8" s="7">
        <v>2698572748459</v>
      </c>
      <c r="X8" s="7">
        <v>2776252251</v>
      </c>
      <c r="Y8" s="7">
        <v>22822664215220</v>
      </c>
      <c r="Z8" s="7">
        <v>117942038760</v>
      </c>
      <c r="AA8" s="7">
        <v>84700000000</v>
      </c>
      <c r="AB8" s="7">
        <v>12309955461929</v>
      </c>
      <c r="AC8" s="7">
        <v>0</v>
      </c>
      <c r="AD8" s="7">
        <v>3169884370000</v>
      </c>
      <c r="AE8" s="7">
        <v>3169884370000</v>
      </c>
      <c r="AF8" s="7">
        <v>1199932994830</v>
      </c>
      <c r="AG8" s="7">
        <v>22475498439</v>
      </c>
      <c r="AH8" s="7">
        <v>5603505990526</v>
      </c>
      <c r="AI8" s="7">
        <v>0</v>
      </c>
      <c r="AJ8" s="7">
        <v>97701063493</v>
      </c>
      <c r="AK8" s="7">
        <v>242115970118</v>
      </c>
      <c r="AL8" s="7">
        <v>242115970118</v>
      </c>
    </row>
    <row r="9" spans="1:38" x14ac:dyDescent="0.35">
      <c r="A9" s="87">
        <v>6</v>
      </c>
      <c r="B9" s="7" t="s">
        <v>37</v>
      </c>
      <c r="C9" s="7">
        <v>2018</v>
      </c>
      <c r="D9" s="7">
        <v>23371994756394</v>
      </c>
      <c r="E9" s="7">
        <v>3749550258212</v>
      </c>
      <c r="F9" s="7">
        <v>50922451739</v>
      </c>
      <c r="G9" s="7">
        <v>1542529736073</v>
      </c>
      <c r="H9" s="7">
        <v>17446005298981</v>
      </c>
      <c r="I9" s="7">
        <v>582987011389</v>
      </c>
      <c r="J9" s="7">
        <v>4750536730462</v>
      </c>
      <c r="K9" s="7">
        <v>0</v>
      </c>
      <c r="L9" s="7">
        <v>3333147659602</v>
      </c>
      <c r="M9" s="7">
        <v>59937763115</v>
      </c>
      <c r="N9" s="7">
        <v>0</v>
      </c>
      <c r="O9" s="7">
        <v>786843665206</v>
      </c>
      <c r="P9" s="7">
        <v>28122531486856</v>
      </c>
      <c r="Q9" s="7">
        <v>19139496155514</v>
      </c>
      <c r="R9" s="7">
        <v>17929433003626</v>
      </c>
      <c r="S9" s="7">
        <v>1210063151888</v>
      </c>
      <c r="T9" s="7">
        <v>8983035331342</v>
      </c>
      <c r="U9" s="7">
        <v>8983035331342</v>
      </c>
      <c r="V9" s="7">
        <v>1130494084</v>
      </c>
      <c r="W9" s="7">
        <v>3989603910055</v>
      </c>
      <c r="X9" s="7">
        <v>6249443319</v>
      </c>
      <c r="Y9" s="7">
        <v>28122531486856</v>
      </c>
      <c r="Z9" s="7">
        <v>21007291749</v>
      </c>
      <c r="AA9" s="7">
        <v>0</v>
      </c>
      <c r="AB9" s="7">
        <v>17821137643753</v>
      </c>
      <c r="AC9" s="7">
        <v>0</v>
      </c>
      <c r="AD9" s="7">
        <v>4434961780000</v>
      </c>
      <c r="AE9" s="7">
        <v>4434961780000</v>
      </c>
      <c r="AF9" s="7">
        <v>1208167140389</v>
      </c>
      <c r="AG9" s="7">
        <v>38061594053</v>
      </c>
      <c r="AH9" s="7">
        <v>5836454637089</v>
      </c>
      <c r="AI9" s="7">
        <v>552526849066</v>
      </c>
      <c r="AJ9" s="7">
        <v>84768088475</v>
      </c>
      <c r="AK9" s="7">
        <v>313775645332</v>
      </c>
      <c r="AL9" s="7">
        <v>313775645332</v>
      </c>
    </row>
    <row r="10" spans="1:38" x14ac:dyDescent="0.35">
      <c r="A10" s="87">
        <v>7</v>
      </c>
      <c r="B10" s="7" t="s">
        <v>37</v>
      </c>
      <c r="C10" s="7">
        <v>2019</v>
      </c>
      <c r="D10" s="7">
        <v>35011896908246</v>
      </c>
      <c r="E10" s="7">
        <v>3115236816468</v>
      </c>
      <c r="F10" s="7">
        <v>3137000000000</v>
      </c>
      <c r="G10" s="7">
        <v>1815085561979</v>
      </c>
      <c r="H10" s="7">
        <v>25745428436580</v>
      </c>
      <c r="I10" s="7">
        <v>1199146093219</v>
      </c>
      <c r="J10" s="7">
        <v>6696198636637</v>
      </c>
      <c r="K10" s="7">
        <v>0</v>
      </c>
      <c r="L10" s="7">
        <v>5403776988921</v>
      </c>
      <c r="M10" s="7">
        <v>56464479744</v>
      </c>
      <c r="N10" s="7">
        <v>0</v>
      </c>
      <c r="O10" s="7">
        <v>773963131188</v>
      </c>
      <c r="P10" s="7">
        <v>41708095544883</v>
      </c>
      <c r="Q10" s="7">
        <v>29564503350530</v>
      </c>
      <c r="R10" s="7">
        <v>28442366683873</v>
      </c>
      <c r="S10" s="7">
        <v>1122136666657</v>
      </c>
      <c r="T10" s="7">
        <v>12143592194353</v>
      </c>
      <c r="U10" s="7">
        <v>12143592194353</v>
      </c>
      <c r="V10" s="7">
        <v>1130494084</v>
      </c>
      <c r="W10" s="7">
        <v>7149694161602</v>
      </c>
      <c r="X10" s="7">
        <v>7786065614</v>
      </c>
      <c r="Y10" s="7">
        <v>41708095544883</v>
      </c>
      <c r="Z10" s="7">
        <v>195016846986</v>
      </c>
      <c r="AA10" s="7">
        <v>0</v>
      </c>
      <c r="AB10" s="7">
        <v>26195934673884</v>
      </c>
      <c r="AC10" s="7">
        <v>0</v>
      </c>
      <c r="AD10" s="7">
        <v>4435461780000</v>
      </c>
      <c r="AE10" s="7">
        <v>4435461780000</v>
      </c>
      <c r="AF10" s="7">
        <v>1122136666657</v>
      </c>
      <c r="AG10" s="7">
        <v>81194129529</v>
      </c>
      <c r="AH10" s="7">
        <v>13031015620192</v>
      </c>
      <c r="AI10" s="7">
        <v>491134976947</v>
      </c>
      <c r="AJ10" s="7">
        <v>104029473910</v>
      </c>
      <c r="AK10" s="7">
        <v>374563598474</v>
      </c>
      <c r="AL10" s="7">
        <v>374563598474</v>
      </c>
    </row>
    <row r="11" spans="1:38" x14ac:dyDescent="0.35">
      <c r="A11" s="87">
        <v>8</v>
      </c>
      <c r="B11" s="7" t="s">
        <v>37</v>
      </c>
      <c r="C11" s="7">
        <v>2020</v>
      </c>
      <c r="D11" s="7">
        <v>37317233970267</v>
      </c>
      <c r="E11" s="7">
        <v>7347857397925</v>
      </c>
      <c r="F11" s="7">
        <v>8057318821918</v>
      </c>
      <c r="G11" s="7">
        <v>1595251018496</v>
      </c>
      <c r="H11" s="7">
        <v>19422177452674</v>
      </c>
      <c r="I11" s="7">
        <v>894629279254</v>
      </c>
      <c r="J11" s="7">
        <v>8713645982187</v>
      </c>
      <c r="K11" s="7">
        <v>0</v>
      </c>
      <c r="L11" s="7">
        <v>7294961666136</v>
      </c>
      <c r="M11" s="7">
        <v>52757540273</v>
      </c>
      <c r="N11" s="7">
        <v>0</v>
      </c>
      <c r="O11" s="7">
        <v>793813155551</v>
      </c>
      <c r="P11" s="7">
        <v>46030879952454</v>
      </c>
      <c r="Q11" s="7">
        <v>30549190106022</v>
      </c>
      <c r="R11" s="7">
        <v>29422513439369</v>
      </c>
      <c r="S11" s="7">
        <v>1126676666653</v>
      </c>
      <c r="T11" s="7">
        <v>15481689846432</v>
      </c>
      <c r="U11" s="7">
        <v>15481689846432</v>
      </c>
      <c r="V11" s="7">
        <v>0</v>
      </c>
      <c r="W11" s="7">
        <v>10389683597845</v>
      </c>
      <c r="X11" s="7">
        <v>9280633826</v>
      </c>
      <c r="Y11" s="7">
        <v>46030879952454</v>
      </c>
      <c r="Z11" s="7">
        <v>287913331552</v>
      </c>
      <c r="AA11" s="7">
        <v>80000000000</v>
      </c>
      <c r="AB11" s="7">
        <v>19926363502365</v>
      </c>
      <c r="AC11" s="7">
        <v>0</v>
      </c>
      <c r="AD11" s="7">
        <v>4532099870000</v>
      </c>
      <c r="AE11" s="7">
        <v>4532099870000</v>
      </c>
      <c r="AF11" s="7">
        <v>1126676666653</v>
      </c>
      <c r="AG11" s="7">
        <v>86907353149</v>
      </c>
      <c r="AH11" s="7">
        <v>15625180321924</v>
      </c>
      <c r="AI11" s="7">
        <v>429743104828</v>
      </c>
      <c r="AJ11" s="7">
        <v>76720247019</v>
      </c>
      <c r="AK11" s="7">
        <v>439493257757</v>
      </c>
      <c r="AL11" s="7">
        <v>439493257757</v>
      </c>
    </row>
    <row r="12" spans="1:38" x14ac:dyDescent="0.35">
      <c r="A12" s="87">
        <v>9</v>
      </c>
      <c r="B12" s="7" t="s">
        <v>37</v>
      </c>
      <c r="C12" s="7">
        <v>2021</v>
      </c>
      <c r="D12" s="7">
        <v>51955257770657</v>
      </c>
      <c r="E12" s="7">
        <v>4142015762555</v>
      </c>
      <c r="F12" s="7">
        <v>14236626334707</v>
      </c>
      <c r="G12" s="7">
        <v>3162121971586</v>
      </c>
      <c r="H12" s="7">
        <v>29167232293922</v>
      </c>
      <c r="I12" s="7">
        <v>1247261407887</v>
      </c>
      <c r="J12" s="7">
        <v>11016147044285</v>
      </c>
      <c r="K12" s="7">
        <v>0</v>
      </c>
      <c r="L12" s="7">
        <v>9647168873232</v>
      </c>
      <c r="M12" s="7">
        <v>0</v>
      </c>
      <c r="N12" s="7">
        <v>0</v>
      </c>
      <c r="O12" s="7">
        <v>806891052417</v>
      </c>
      <c r="P12" s="7">
        <v>62971404814942</v>
      </c>
      <c r="Q12" s="7">
        <v>42593158815096</v>
      </c>
      <c r="R12" s="7">
        <v>42593158815096</v>
      </c>
      <c r="S12" s="7">
        <v>0</v>
      </c>
      <c r="T12" s="7">
        <v>20378245999846</v>
      </c>
      <c r="U12" s="7">
        <v>20378245999846</v>
      </c>
      <c r="V12" s="7">
        <v>0</v>
      </c>
      <c r="W12" s="7">
        <v>12674574164065</v>
      </c>
      <c r="X12" s="7">
        <v>11838029496</v>
      </c>
      <c r="Y12" s="7">
        <v>62971404814942</v>
      </c>
      <c r="Z12" s="7">
        <v>390738782756</v>
      </c>
      <c r="AA12" s="7">
        <v>961917697638</v>
      </c>
      <c r="AB12" s="7">
        <v>29850068817719</v>
      </c>
      <c r="AC12" s="7">
        <v>0</v>
      </c>
      <c r="AD12" s="7">
        <v>7130654950000</v>
      </c>
      <c r="AE12" s="7">
        <v>7130654950000</v>
      </c>
      <c r="AF12" s="7">
        <v>0</v>
      </c>
      <c r="AG12" s="7">
        <v>98379250626</v>
      </c>
      <c r="AH12" s="7">
        <v>24647474278786</v>
      </c>
      <c r="AI12" s="7">
        <v>368351232709</v>
      </c>
      <c r="AJ12" s="7">
        <v>88371396963</v>
      </c>
      <c r="AK12" s="7">
        <v>482389179464</v>
      </c>
      <c r="AL12" s="7">
        <v>482389179464</v>
      </c>
    </row>
    <row r="13" spans="1:38" x14ac:dyDescent="0.35">
      <c r="A13" s="87">
        <v>10</v>
      </c>
      <c r="B13" s="7" t="s">
        <v>37</v>
      </c>
      <c r="C13" s="7">
        <v>2022</v>
      </c>
      <c r="D13" s="7">
        <v>44577607228189</v>
      </c>
      <c r="E13" s="7">
        <v>5061020547422</v>
      </c>
      <c r="F13" s="7">
        <v>10069249605640</v>
      </c>
      <c r="G13" s="7">
        <v>3000817466182</v>
      </c>
      <c r="H13" s="7">
        <v>25696077735282</v>
      </c>
      <c r="I13" s="7">
        <v>750441873663</v>
      </c>
      <c r="J13" s="7">
        <v>11256488385860</v>
      </c>
      <c r="K13" s="7">
        <v>9744723329</v>
      </c>
      <c r="L13" s="7">
        <v>9727502911440</v>
      </c>
      <c r="M13" s="7">
        <v>231034840000</v>
      </c>
      <c r="N13" s="7">
        <v>0</v>
      </c>
      <c r="O13" s="7">
        <v>670590081979</v>
      </c>
      <c r="P13" s="7">
        <v>55834095614049</v>
      </c>
      <c r="Q13" s="7">
        <v>31901514096473</v>
      </c>
      <c r="R13" s="7">
        <v>26000264096473</v>
      </c>
      <c r="S13" s="7">
        <v>5901250000000</v>
      </c>
      <c r="T13" s="7">
        <v>23932581517576</v>
      </c>
      <c r="U13" s="7">
        <v>23932581517576</v>
      </c>
      <c r="V13" s="7">
        <v>0</v>
      </c>
      <c r="W13" s="7">
        <v>8723934226370</v>
      </c>
      <c r="X13" s="7">
        <v>14508097130</v>
      </c>
      <c r="Y13" s="7">
        <v>55834095614049</v>
      </c>
      <c r="Z13" s="7">
        <v>403669438496</v>
      </c>
      <c r="AA13" s="7">
        <v>16917697638</v>
      </c>
      <c r="AB13" s="7">
        <v>26058131396686</v>
      </c>
      <c r="AC13" s="7">
        <v>0</v>
      </c>
      <c r="AD13" s="7">
        <v>14638792800000</v>
      </c>
      <c r="AE13" s="7">
        <v>14638792800000</v>
      </c>
      <c r="AF13" s="7">
        <v>5901250000000</v>
      </c>
      <c r="AG13" s="7">
        <v>97659957856</v>
      </c>
      <c r="AH13" s="7">
        <v>10688138631456</v>
      </c>
      <c r="AI13" s="7">
        <v>306959360590</v>
      </c>
      <c r="AJ13" s="7">
        <v>175104437161</v>
      </c>
      <c r="AK13" s="7">
        <v>493741850234</v>
      </c>
      <c r="AL13" s="7">
        <v>503486573563</v>
      </c>
    </row>
    <row r="14" spans="1:38" x14ac:dyDescent="0.35">
      <c r="A14" s="87">
        <v>12</v>
      </c>
      <c r="B14" s="7" t="s">
        <v>37</v>
      </c>
      <c r="C14" s="7">
        <v>2023</v>
      </c>
      <c r="D14" s="7">
        <v>51950337976047</v>
      </c>
      <c r="E14" s="7">
        <v>5365704857172</v>
      </c>
      <c r="F14" s="7">
        <v>18937008073823</v>
      </c>
      <c r="G14" s="7">
        <v>5158853337785</v>
      </c>
      <c r="H14" s="7">
        <v>21824235626176</v>
      </c>
      <c r="I14" s="7">
        <v>664536081091</v>
      </c>
      <c r="J14" s="7">
        <v>8160899236677</v>
      </c>
      <c r="K14" s="7">
        <v>9244973329</v>
      </c>
      <c r="L14" s="7">
        <v>6500135608914</v>
      </c>
      <c r="M14" s="7">
        <v>746632252729</v>
      </c>
      <c r="N14" s="7">
        <v>0</v>
      </c>
      <c r="O14" s="7">
        <v>452067531470</v>
      </c>
      <c r="P14" s="7">
        <v>60111237212724</v>
      </c>
      <c r="Q14" s="7">
        <v>36751679245386</v>
      </c>
      <c r="R14" s="7">
        <v>30765260553972</v>
      </c>
      <c r="S14" s="7">
        <v>5986418691414</v>
      </c>
      <c r="T14" s="7">
        <v>23359557967338</v>
      </c>
      <c r="U14" s="7">
        <v>23359557967338</v>
      </c>
      <c r="V14" s="7">
        <v>0</v>
      </c>
      <c r="W14" s="7">
        <v>8160323595574</v>
      </c>
      <c r="X14" s="7">
        <v>13401030472</v>
      </c>
      <c r="Y14" s="7">
        <v>60111237212724</v>
      </c>
      <c r="Z14" s="7">
        <v>95981093251</v>
      </c>
      <c r="AA14" s="7">
        <v>2085917697638</v>
      </c>
      <c r="AB14" s="7">
        <v>22028684523096</v>
      </c>
      <c r="AC14" s="7">
        <v>0</v>
      </c>
      <c r="AD14" s="7">
        <v>14633767160000</v>
      </c>
      <c r="AE14" s="7">
        <v>14633767160000</v>
      </c>
      <c r="AF14" s="7">
        <v>5985250000000</v>
      </c>
      <c r="AG14" s="7">
        <v>88995836420</v>
      </c>
      <c r="AH14" s="7">
        <v>19128541817781</v>
      </c>
      <c r="AI14" s="7">
        <v>245567488471</v>
      </c>
      <c r="AJ14" s="7">
        <v>105411103799</v>
      </c>
      <c r="AK14" s="7">
        <v>448325013301</v>
      </c>
      <c r="AL14" s="7">
        <v>457569986630</v>
      </c>
    </row>
    <row r="15" spans="1:38" x14ac:dyDescent="0.35">
      <c r="A15" s="87">
        <v>13</v>
      </c>
      <c r="B15" s="7" t="s">
        <v>37</v>
      </c>
      <c r="C15" s="7">
        <v>2024</v>
      </c>
      <c r="D15" s="7">
        <v>65836422620040</v>
      </c>
      <c r="E15" s="7">
        <v>4897331540730</v>
      </c>
      <c r="F15" s="7">
        <v>29324441756320</v>
      </c>
      <c r="G15" s="7">
        <v>8825896224771</v>
      </c>
      <c r="H15" s="7">
        <v>22244676326705</v>
      </c>
      <c r="I15" s="7">
        <v>544076771514</v>
      </c>
      <c r="J15" s="7">
        <v>4601353101564</v>
      </c>
      <c r="K15" s="7">
        <v>0</v>
      </c>
      <c r="L15" s="7">
        <v>3586628664045</v>
      </c>
      <c r="M15" s="7">
        <v>242035797830</v>
      </c>
      <c r="N15" s="7">
        <v>0</v>
      </c>
      <c r="O15" s="7">
        <v>358454413877</v>
      </c>
      <c r="P15" s="7">
        <v>70437775721604</v>
      </c>
      <c r="Q15" s="7">
        <v>42316198897749</v>
      </c>
      <c r="R15" s="7">
        <v>42316198897749</v>
      </c>
      <c r="S15" s="7">
        <v>0</v>
      </c>
      <c r="T15" s="7">
        <v>28121576823855</v>
      </c>
      <c r="U15" s="7">
        <v>28121576823855</v>
      </c>
      <c r="V15" s="7">
        <v>0</v>
      </c>
      <c r="W15" s="7">
        <v>12582145266842</v>
      </c>
      <c r="X15" s="7">
        <v>364020651398</v>
      </c>
      <c r="Y15" s="7">
        <v>70437775721604</v>
      </c>
      <c r="Z15" s="7">
        <v>115888383111</v>
      </c>
      <c r="AA15" s="7">
        <v>6037714596101</v>
      </c>
      <c r="AB15" s="7">
        <v>22667774012643</v>
      </c>
      <c r="AC15" s="7">
        <v>0</v>
      </c>
      <c r="AD15" s="7">
        <v>14622441770000</v>
      </c>
      <c r="AE15" s="7">
        <v>14622441770000</v>
      </c>
      <c r="AF15" s="7">
        <v>0</v>
      </c>
      <c r="AG15" s="7">
        <v>90966314915</v>
      </c>
      <c r="AH15" s="7">
        <v>27300246721779</v>
      </c>
      <c r="AI15" s="7">
        <v>0</v>
      </c>
      <c r="AJ15" s="7">
        <v>68471833530</v>
      </c>
      <c r="AK15" s="7">
        <v>389707802472</v>
      </c>
      <c r="AL15" s="7">
        <v>389707802472</v>
      </c>
    </row>
    <row r="17" spans="30:30" x14ac:dyDescent="0.35">
      <c r="AD17" s="11"/>
    </row>
  </sheetData>
  <sortState xmlns:xlrd2="http://schemas.microsoft.com/office/spreadsheetml/2017/richdata2" ref="B4:AL15">
    <sortCondition ref="C4:C15"/>
  </sortState>
  <pageMargins left="0.75" right="0.75" top="1" bottom="1" header="0.5" footer="0.5"/>
  <pageSetup scale="1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E16F-4280-41AD-A5C8-43D609DCE998}">
  <sheetPr>
    <pageSetUpPr fitToPage="1"/>
  </sheetPr>
  <dimension ref="A1:AB15"/>
  <sheetViews>
    <sheetView showGridLines="0" topLeftCell="H1" workbookViewId="0">
      <selection activeCell="X9" sqref="X9"/>
    </sheetView>
  </sheetViews>
  <sheetFormatPr defaultRowHeight="14.5" x14ac:dyDescent="0.35"/>
  <cols>
    <col min="1" max="1" width="8.81640625" bestFit="1" customWidth="1"/>
    <col min="3" max="3" width="9.08984375" bestFit="1" customWidth="1"/>
    <col min="4" max="4" width="8.81640625" bestFit="1" customWidth="1"/>
    <col min="5" max="5" width="21.7265625" bestFit="1" customWidth="1"/>
    <col min="6" max="6" width="35.453125" bestFit="1" customWidth="1"/>
    <col min="7" max="7" width="33.54296875" bestFit="1" customWidth="1"/>
    <col min="8" max="9" width="19.6328125" bestFit="1" customWidth="1"/>
    <col min="10" max="10" width="21.7265625" bestFit="1" customWidth="1"/>
    <col min="11" max="11" width="19.6328125" bestFit="1" customWidth="1"/>
    <col min="12" max="13" width="21.7265625" bestFit="1" customWidth="1"/>
    <col min="14" max="14" width="20.6328125" bestFit="1" customWidth="1"/>
    <col min="15" max="15" width="19.6328125" bestFit="1" customWidth="1"/>
    <col min="16" max="16" width="28.26953125" bestFit="1" customWidth="1"/>
    <col min="17" max="17" width="20.6328125" bestFit="1" customWidth="1"/>
    <col min="18" max="18" width="24.90625" bestFit="1" customWidth="1"/>
    <col min="19" max="19" width="19.6328125" bestFit="1" customWidth="1"/>
    <col min="20" max="20" width="14.54296875" bestFit="1" customWidth="1"/>
    <col min="21" max="21" width="22.453125" bestFit="1" customWidth="1"/>
    <col min="22" max="22" width="25.6328125" bestFit="1" customWidth="1"/>
    <col min="23" max="24" width="19.6328125" bestFit="1" customWidth="1"/>
    <col min="25" max="25" width="18.1796875" bestFit="1" customWidth="1"/>
    <col min="26" max="26" width="19.6328125" bestFit="1" customWidth="1"/>
    <col min="27" max="27" width="17.1796875" bestFit="1" customWidth="1"/>
    <col min="28" max="28" width="19.6328125" bestFit="1" customWidth="1"/>
  </cols>
  <sheetData>
    <row r="1" spans="1:28" s="84" customFormat="1" ht="19" thickBot="1" x14ac:dyDescent="0.5">
      <c r="A1" s="85" t="s">
        <v>45</v>
      </c>
    </row>
    <row r="3" spans="1:28" x14ac:dyDescent="0.35">
      <c r="A3" s="37"/>
      <c r="B3" s="87" t="s">
        <v>0</v>
      </c>
      <c r="C3" s="87" t="s">
        <v>1</v>
      </c>
      <c r="D3" s="87" t="s">
        <v>70</v>
      </c>
      <c r="E3" s="87" t="s">
        <v>71</v>
      </c>
      <c r="F3" s="87" t="s">
        <v>72</v>
      </c>
      <c r="G3" s="87" t="s">
        <v>73</v>
      </c>
      <c r="H3" s="87" t="s">
        <v>74</v>
      </c>
      <c r="I3" s="87" t="s">
        <v>75</v>
      </c>
      <c r="J3" s="87" t="s">
        <v>76</v>
      </c>
      <c r="K3" s="87" t="s">
        <v>77</v>
      </c>
      <c r="L3" s="87" t="s">
        <v>78</v>
      </c>
      <c r="M3" s="87" t="s">
        <v>79</v>
      </c>
      <c r="N3" s="87" t="s">
        <v>80</v>
      </c>
      <c r="O3" s="87" t="s">
        <v>81</v>
      </c>
      <c r="P3" s="87" t="s">
        <v>82</v>
      </c>
      <c r="Q3" s="87" t="s">
        <v>83</v>
      </c>
      <c r="R3" s="87" t="s">
        <v>84</v>
      </c>
      <c r="S3" s="87" t="s">
        <v>85</v>
      </c>
      <c r="T3" s="87" t="s">
        <v>86</v>
      </c>
      <c r="U3" s="87" t="s">
        <v>87</v>
      </c>
      <c r="V3" s="87" t="s">
        <v>88</v>
      </c>
      <c r="W3" s="87" t="s">
        <v>89</v>
      </c>
      <c r="X3" s="87" t="s">
        <v>90</v>
      </c>
      <c r="Y3" s="87" t="s">
        <v>91</v>
      </c>
      <c r="Z3" s="87" t="s">
        <v>92</v>
      </c>
      <c r="AA3" s="87" t="s">
        <v>93</v>
      </c>
      <c r="AB3" s="87" t="s">
        <v>94</v>
      </c>
    </row>
    <row r="4" spans="1:28" x14ac:dyDescent="0.35">
      <c r="A4" s="87">
        <v>0</v>
      </c>
      <c r="B4" s="7" t="s">
        <v>37</v>
      </c>
      <c r="C4" s="7">
        <v>2013</v>
      </c>
      <c r="D4" s="7">
        <v>0</v>
      </c>
      <c r="E4" s="7">
        <v>9544540892171</v>
      </c>
      <c r="F4" s="7">
        <v>255601250424</v>
      </c>
      <c r="G4" s="7">
        <v>0</v>
      </c>
      <c r="H4" s="7">
        <v>29466115268</v>
      </c>
      <c r="I4" s="7">
        <v>-26535371431</v>
      </c>
      <c r="J4" s="7">
        <v>9544540892171</v>
      </c>
      <c r="K4" s="7">
        <v>-45691574828</v>
      </c>
      <c r="L4" s="7">
        <v>9498849317343</v>
      </c>
      <c r="M4" s="7">
        <v>-8091484102566</v>
      </c>
      <c r="N4" s="7">
        <v>1407365214777</v>
      </c>
      <c r="O4" s="7">
        <v>-26843253776</v>
      </c>
      <c r="P4" s="7">
        <v>0</v>
      </c>
      <c r="Q4" s="7">
        <v>-935793711279</v>
      </c>
      <c r="R4" s="7">
        <v>-125646424308</v>
      </c>
      <c r="S4" s="7">
        <v>348547940682</v>
      </c>
      <c r="T4" s="7">
        <v>10158134968</v>
      </c>
      <c r="U4" s="7">
        <v>-7918446086</v>
      </c>
      <c r="V4" s="7">
        <v>2239688882</v>
      </c>
      <c r="W4" s="7">
        <v>350787629564</v>
      </c>
      <c r="X4" s="7">
        <v>-92541582226</v>
      </c>
      <c r="Y4" s="7">
        <v>222806148</v>
      </c>
      <c r="Z4" s="7">
        <v>258468853486</v>
      </c>
      <c r="AA4" s="7">
        <v>2867603062</v>
      </c>
      <c r="AB4" s="7">
        <v>255601250424</v>
      </c>
    </row>
    <row r="5" spans="1:28" x14ac:dyDescent="0.35">
      <c r="A5" s="87">
        <v>1</v>
      </c>
      <c r="B5" s="7" t="s">
        <v>37</v>
      </c>
      <c r="C5" s="7">
        <v>2014</v>
      </c>
      <c r="D5" s="7">
        <v>0.65923635585700735</v>
      </c>
      <c r="E5" s="7">
        <v>15836649248254</v>
      </c>
      <c r="F5" s="7">
        <v>668106031832</v>
      </c>
      <c r="G5" s="7">
        <v>1.6138605766745</v>
      </c>
      <c r="H5" s="7">
        <v>71335314202</v>
      </c>
      <c r="I5" s="7">
        <v>-21261415761</v>
      </c>
      <c r="J5" s="7">
        <v>15836649248254</v>
      </c>
      <c r="K5" s="7">
        <v>-79923391578</v>
      </c>
      <c r="L5" s="7">
        <v>15756725856676</v>
      </c>
      <c r="M5" s="7">
        <v>-13360606457365</v>
      </c>
      <c r="N5" s="7">
        <v>2396119399311</v>
      </c>
      <c r="O5" s="7">
        <v>-21291413996</v>
      </c>
      <c r="P5" s="7">
        <v>0</v>
      </c>
      <c r="Q5" s="7">
        <v>-1349301070370</v>
      </c>
      <c r="R5" s="7">
        <v>-240543267438</v>
      </c>
      <c r="S5" s="7">
        <v>856318961709</v>
      </c>
      <c r="T5" s="7">
        <v>15118039591</v>
      </c>
      <c r="U5" s="7">
        <v>-3239558206</v>
      </c>
      <c r="V5" s="7">
        <v>11878481385</v>
      </c>
      <c r="W5" s="7">
        <v>868197443094</v>
      </c>
      <c r="X5" s="7">
        <v>-203799232655</v>
      </c>
      <c r="Y5" s="7">
        <v>9346006165</v>
      </c>
      <c r="Z5" s="7">
        <v>673744216604</v>
      </c>
      <c r="AA5" s="7">
        <v>5638184772</v>
      </c>
      <c r="AB5" s="7">
        <v>668106031832</v>
      </c>
    </row>
    <row r="6" spans="1:28" x14ac:dyDescent="0.35">
      <c r="A6" s="87">
        <v>2</v>
      </c>
      <c r="B6" s="7" t="s">
        <v>37</v>
      </c>
      <c r="C6" s="7">
        <v>2015</v>
      </c>
      <c r="D6" s="7">
        <v>0.60312144448921545</v>
      </c>
      <c r="E6" s="7">
        <v>25388072018730</v>
      </c>
      <c r="F6" s="7">
        <v>1071893519399</v>
      </c>
      <c r="G6" s="7">
        <v>0.60437635394457156</v>
      </c>
      <c r="H6" s="7">
        <v>80985820413</v>
      </c>
      <c r="I6" s="7">
        <v>-38893852014</v>
      </c>
      <c r="J6" s="7">
        <v>25388072018730</v>
      </c>
      <c r="K6" s="7">
        <v>-135338939486</v>
      </c>
      <c r="L6" s="7">
        <v>25252733079244</v>
      </c>
      <c r="M6" s="7">
        <v>-21330302185370</v>
      </c>
      <c r="N6" s="7">
        <v>3922430893874</v>
      </c>
      <c r="O6" s="7">
        <v>-40666093756</v>
      </c>
      <c r="P6" s="7">
        <v>0</v>
      </c>
      <c r="Q6" s="7">
        <v>-2351094719997</v>
      </c>
      <c r="R6" s="7">
        <v>-249315306535</v>
      </c>
      <c r="S6" s="7">
        <v>1362340593999</v>
      </c>
      <c r="T6" s="7">
        <v>25192750122</v>
      </c>
      <c r="U6" s="7">
        <v>-1749556427</v>
      </c>
      <c r="V6" s="7">
        <v>23443193695</v>
      </c>
      <c r="W6" s="7">
        <v>1385783787694</v>
      </c>
      <c r="X6" s="7">
        <v>-312610960322</v>
      </c>
      <c r="Y6" s="7">
        <v>2598402071</v>
      </c>
      <c r="Z6" s="7">
        <v>1075771229443</v>
      </c>
      <c r="AA6" s="7">
        <v>3877710044</v>
      </c>
      <c r="AB6" s="7">
        <v>1071893519399</v>
      </c>
    </row>
    <row r="7" spans="1:28" x14ac:dyDescent="0.35">
      <c r="A7" s="87">
        <v>3</v>
      </c>
      <c r="B7" s="7" t="s">
        <v>37</v>
      </c>
      <c r="C7" s="7">
        <v>2016</v>
      </c>
      <c r="D7" s="7">
        <v>0.79661837922806178</v>
      </c>
      <c r="E7" s="7">
        <v>45612676802016</v>
      </c>
      <c r="F7" s="7">
        <v>1577372426339</v>
      </c>
      <c r="G7" s="7">
        <v>0.47157567220241892</v>
      </c>
      <c r="H7" s="7">
        <v>135327700732</v>
      </c>
      <c r="I7" s="7">
        <v>-119645695306</v>
      </c>
      <c r="J7" s="7">
        <v>45612676802016</v>
      </c>
      <c r="K7" s="7">
        <v>-999344129028</v>
      </c>
      <c r="L7" s="7">
        <v>44613332672988</v>
      </c>
      <c r="M7" s="7">
        <v>-37399226360426</v>
      </c>
      <c r="N7" s="7">
        <v>7214106312562</v>
      </c>
      <c r="O7" s="7">
        <v>-120085861346</v>
      </c>
      <c r="P7" s="7">
        <v>0</v>
      </c>
      <c r="Q7" s="7">
        <v>-4287696260226</v>
      </c>
      <c r="R7" s="7">
        <v>-934776941124</v>
      </c>
      <c r="S7" s="7">
        <v>2006874950598</v>
      </c>
      <c r="T7" s="7">
        <v>31129990083</v>
      </c>
      <c r="U7" s="7">
        <v>-32090825758</v>
      </c>
      <c r="V7" s="7">
        <v>-960835675</v>
      </c>
      <c r="W7" s="7">
        <v>2005914114923</v>
      </c>
      <c r="X7" s="7">
        <v>-495800545472</v>
      </c>
      <c r="Y7" s="7">
        <v>68137051386</v>
      </c>
      <c r="Z7" s="7">
        <v>1578250620837</v>
      </c>
      <c r="AA7" s="7">
        <v>878194498</v>
      </c>
      <c r="AB7" s="7">
        <v>1577372426339</v>
      </c>
    </row>
    <row r="8" spans="1:28" x14ac:dyDescent="0.35">
      <c r="A8" s="87">
        <v>4</v>
      </c>
      <c r="B8" s="7" t="s">
        <v>37</v>
      </c>
      <c r="C8" s="7">
        <v>2017</v>
      </c>
      <c r="D8" s="7">
        <v>0.48420451140277843</v>
      </c>
      <c r="E8" s="7">
        <v>67698540686709</v>
      </c>
      <c r="F8" s="7">
        <v>2205679630420</v>
      </c>
      <c r="G8" s="7">
        <v>0.39832521070453131</v>
      </c>
      <c r="H8" s="7">
        <v>250509808127</v>
      </c>
      <c r="I8" s="7">
        <v>-233202340492</v>
      </c>
      <c r="J8" s="7">
        <v>67698540686709</v>
      </c>
      <c r="K8" s="7">
        <v>-1358736494531</v>
      </c>
      <c r="L8" s="7">
        <v>66339804192178</v>
      </c>
      <c r="M8" s="7">
        <v>-55198024925235</v>
      </c>
      <c r="N8" s="7">
        <v>11141779266943</v>
      </c>
      <c r="O8" s="7">
        <v>-234286596275</v>
      </c>
      <c r="P8" s="7">
        <v>0</v>
      </c>
      <c r="Q8" s="7">
        <v>-7017061321366</v>
      </c>
      <c r="R8" s="7">
        <v>-1345497381559</v>
      </c>
      <c r="S8" s="7">
        <v>2795443775870</v>
      </c>
      <c r="T8" s="7">
        <v>17684643400</v>
      </c>
      <c r="U8" s="7">
        <v>-3816386624</v>
      </c>
      <c r="V8" s="7">
        <v>13868256776</v>
      </c>
      <c r="W8" s="7">
        <v>2809312032646</v>
      </c>
      <c r="X8" s="7">
        <v>-639743605453</v>
      </c>
      <c r="Y8" s="7">
        <v>37328692156</v>
      </c>
      <c r="Z8" s="7">
        <v>2206897119349</v>
      </c>
      <c r="AA8" s="7">
        <v>1217488929</v>
      </c>
      <c r="AB8" s="7">
        <v>2205679630420</v>
      </c>
    </row>
    <row r="9" spans="1:28" x14ac:dyDescent="0.35">
      <c r="A9" s="87">
        <v>5</v>
      </c>
      <c r="B9" s="7" t="s">
        <v>37</v>
      </c>
      <c r="C9" s="7">
        <v>2018</v>
      </c>
      <c r="D9" s="7">
        <v>0.2960158090359154</v>
      </c>
      <c r="E9" s="7">
        <v>87738378978636</v>
      </c>
      <c r="F9" s="7">
        <v>2878724130908</v>
      </c>
      <c r="G9" s="7">
        <v>0.30514154966369278</v>
      </c>
      <c r="H9" s="7">
        <v>342083875229</v>
      </c>
      <c r="I9" s="7">
        <v>-436416577674</v>
      </c>
      <c r="J9" s="7">
        <v>87738378978636</v>
      </c>
      <c r="K9" s="7">
        <v>-1222091976137</v>
      </c>
      <c r="L9" s="7">
        <v>86516287002499</v>
      </c>
      <c r="M9" s="7">
        <v>-71224159239435</v>
      </c>
      <c r="N9" s="7">
        <v>15292127763064</v>
      </c>
      <c r="O9" s="7">
        <v>-436573150236</v>
      </c>
      <c r="P9" s="7">
        <v>-2100986885</v>
      </c>
      <c r="Q9" s="7">
        <v>-9659741188756</v>
      </c>
      <c r="R9" s="7">
        <v>-1761613900080</v>
      </c>
      <c r="S9" s="7">
        <v>3774182412336</v>
      </c>
      <c r="T9" s="7">
        <v>33233337382</v>
      </c>
      <c r="U9" s="7">
        <v>-21097180799</v>
      </c>
      <c r="V9" s="7">
        <v>12136156583</v>
      </c>
      <c r="W9" s="7">
        <v>3786318568919</v>
      </c>
      <c r="X9" s="7">
        <v>-933836738446</v>
      </c>
      <c r="Y9" s="7">
        <v>27827229661</v>
      </c>
      <c r="Z9" s="7">
        <v>2880309060134</v>
      </c>
      <c r="AA9" s="7">
        <v>1584929226</v>
      </c>
      <c r="AB9" s="7">
        <v>2878724130908</v>
      </c>
    </row>
    <row r="10" spans="1:28" x14ac:dyDescent="0.35">
      <c r="A10" s="87">
        <v>6</v>
      </c>
      <c r="B10" s="7" t="s">
        <v>37</v>
      </c>
      <c r="C10" s="7">
        <v>2019</v>
      </c>
      <c r="D10" s="7">
        <v>0.17947297268445389</v>
      </c>
      <c r="E10" s="7">
        <v>103485046672447</v>
      </c>
      <c r="F10" s="7">
        <v>3834269547047</v>
      </c>
      <c r="G10" s="7">
        <v>0.33193365278721731</v>
      </c>
      <c r="H10" s="7">
        <v>631177854351</v>
      </c>
      <c r="I10" s="7">
        <v>-568136717134</v>
      </c>
      <c r="J10" s="7">
        <v>103485046672447</v>
      </c>
      <c r="K10" s="7">
        <v>-1310802695724</v>
      </c>
      <c r="L10" s="7">
        <v>102174243976723</v>
      </c>
      <c r="M10" s="7">
        <v>-82686444673012</v>
      </c>
      <c r="N10" s="7">
        <v>19487799303711</v>
      </c>
      <c r="O10" s="7">
        <v>-569754844844</v>
      </c>
      <c r="P10" s="7">
        <v>-3473283371</v>
      </c>
      <c r="Q10" s="7">
        <v>-12437282718212</v>
      </c>
      <c r="R10" s="7">
        <v>-2073782880058</v>
      </c>
      <c r="S10" s="7">
        <v>5034683431577</v>
      </c>
      <c r="T10" s="7">
        <v>41557041541</v>
      </c>
      <c r="U10" s="7">
        <v>-22793268422</v>
      </c>
      <c r="V10" s="7">
        <v>18763773119</v>
      </c>
      <c r="W10" s="7">
        <v>5053447204696</v>
      </c>
      <c r="X10" s="7">
        <v>-1248353081834</v>
      </c>
      <c r="Y10" s="7">
        <v>31145964165</v>
      </c>
      <c r="Z10" s="7">
        <v>3836240087027</v>
      </c>
      <c r="AA10" s="7">
        <v>1970539980</v>
      </c>
      <c r="AB10" s="7">
        <v>3834269547047</v>
      </c>
    </row>
    <row r="11" spans="1:28" x14ac:dyDescent="0.35">
      <c r="A11" s="87">
        <v>7</v>
      </c>
      <c r="B11" s="7" t="s">
        <v>37</v>
      </c>
      <c r="C11" s="7">
        <v>2020</v>
      </c>
      <c r="D11" s="7">
        <v>6.1034972890346068E-2</v>
      </c>
      <c r="E11" s="7">
        <v>109801253690656</v>
      </c>
      <c r="F11" s="7">
        <v>3917767783159</v>
      </c>
      <c r="G11" s="7">
        <v>2.1776830003072421E-2</v>
      </c>
      <c r="H11" s="7">
        <v>794121782667</v>
      </c>
      <c r="I11" s="7">
        <v>-594003821021</v>
      </c>
      <c r="J11" s="7">
        <v>109801253690656</v>
      </c>
      <c r="K11" s="7">
        <v>-1255234025244</v>
      </c>
      <c r="L11" s="7">
        <v>108546019665412</v>
      </c>
      <c r="M11" s="7">
        <v>-84591522392949</v>
      </c>
      <c r="N11" s="7">
        <v>23954497272463</v>
      </c>
      <c r="O11" s="7">
        <v>-594151513751</v>
      </c>
      <c r="P11" s="7">
        <v>-3706939471</v>
      </c>
      <c r="Q11" s="7">
        <v>-15333798830787</v>
      </c>
      <c r="R11" s="7">
        <v>-3404431838167</v>
      </c>
      <c r="S11" s="7">
        <v>5412529932954</v>
      </c>
      <c r="T11" s="7">
        <v>43512695471</v>
      </c>
      <c r="U11" s="7">
        <v>-46307221072</v>
      </c>
      <c r="V11" s="7">
        <v>-2794525601</v>
      </c>
      <c r="W11" s="7">
        <v>5409735407353</v>
      </c>
      <c r="X11" s="7">
        <v>-1598413821219</v>
      </c>
      <c r="Y11" s="7">
        <v>108551123373</v>
      </c>
      <c r="Z11" s="7">
        <v>3919872709507</v>
      </c>
      <c r="AA11" s="7">
        <v>2104926348</v>
      </c>
      <c r="AB11" s="7">
        <v>3917767783159</v>
      </c>
    </row>
    <row r="12" spans="1:28" x14ac:dyDescent="0.35">
      <c r="A12" s="87">
        <v>8</v>
      </c>
      <c r="B12" s="7" t="s">
        <v>37</v>
      </c>
      <c r="C12" s="7">
        <v>2021</v>
      </c>
      <c r="D12" s="7">
        <v>0.13060207891335171</v>
      </c>
      <c r="E12" s="7">
        <v>124141525689948</v>
      </c>
      <c r="F12" s="7">
        <v>4898869278220</v>
      </c>
      <c r="G12" s="7">
        <v>0.25042359561952188</v>
      </c>
      <c r="H12" s="7">
        <v>1287956026163</v>
      </c>
      <c r="I12" s="7">
        <v>-674427746189</v>
      </c>
      <c r="J12" s="7">
        <v>124141525689948</v>
      </c>
      <c r="K12" s="7">
        <v>-1183419586774</v>
      </c>
      <c r="L12" s="7">
        <v>122958106103174</v>
      </c>
      <c r="M12" s="7">
        <v>-95325974107640</v>
      </c>
      <c r="N12" s="7">
        <v>27632131995534</v>
      </c>
      <c r="O12" s="7">
        <v>-714707225745</v>
      </c>
      <c r="P12" s="7">
        <v>-2210500486</v>
      </c>
      <c r="Q12" s="7">
        <v>-17914173302345</v>
      </c>
      <c r="R12" s="7">
        <v>-3823390074765</v>
      </c>
      <c r="S12" s="7">
        <v>6465606918356</v>
      </c>
      <c r="T12" s="7">
        <v>54872797433</v>
      </c>
      <c r="U12" s="7">
        <v>-48895965246</v>
      </c>
      <c r="V12" s="7">
        <v>5976832187</v>
      </c>
      <c r="W12" s="7">
        <v>6471583750543</v>
      </c>
      <c r="X12" s="7">
        <v>-1632975695694</v>
      </c>
      <c r="Y12" s="7">
        <v>62818619041</v>
      </c>
      <c r="Z12" s="7">
        <v>4901426673890</v>
      </c>
      <c r="AA12" s="7">
        <v>2557395670</v>
      </c>
      <c r="AB12" s="7">
        <v>4898869278220</v>
      </c>
    </row>
    <row r="13" spans="1:28" x14ac:dyDescent="0.35">
      <c r="A13" s="87">
        <v>9</v>
      </c>
      <c r="B13" s="7" t="s">
        <v>37</v>
      </c>
      <c r="C13" s="7">
        <v>2022</v>
      </c>
      <c r="D13" s="7">
        <v>8.5231135502837979E-2</v>
      </c>
      <c r="E13" s="7">
        <v>134722248887557</v>
      </c>
      <c r="F13" s="7">
        <v>4099763027305</v>
      </c>
      <c r="G13" s="7">
        <v>-0.16312054997420841</v>
      </c>
      <c r="H13" s="7">
        <v>1313137304323</v>
      </c>
      <c r="I13" s="7">
        <v>-1362143909103</v>
      </c>
      <c r="J13" s="7">
        <v>134722248887557</v>
      </c>
      <c r="K13" s="7">
        <v>-1317471297033</v>
      </c>
      <c r="L13" s="7">
        <v>133404777590524</v>
      </c>
      <c r="M13" s="7">
        <v>-102542735094343</v>
      </c>
      <c r="N13" s="7">
        <v>30862042496181</v>
      </c>
      <c r="O13" s="7">
        <v>-1382620454532</v>
      </c>
      <c r="P13" s="7">
        <v>0</v>
      </c>
      <c r="Q13" s="7">
        <v>-22336838067678</v>
      </c>
      <c r="R13" s="7">
        <v>-1881027579714</v>
      </c>
      <c r="S13" s="7">
        <v>6574693698580</v>
      </c>
      <c r="T13" s="7">
        <v>61606712681</v>
      </c>
      <c r="U13" s="7">
        <v>-579945037703</v>
      </c>
      <c r="V13" s="7">
        <v>-518338325022</v>
      </c>
      <c r="W13" s="7">
        <v>6056355373558</v>
      </c>
      <c r="X13" s="7">
        <v>-1792998810102</v>
      </c>
      <c r="Y13" s="7">
        <v>-161642138517</v>
      </c>
      <c r="Z13" s="7">
        <v>4101714424939</v>
      </c>
      <c r="AA13" s="7">
        <v>1951397634</v>
      </c>
      <c r="AB13" s="7">
        <v>4099763027305</v>
      </c>
    </row>
    <row r="14" spans="1:28" x14ac:dyDescent="0.35">
      <c r="A14" s="87">
        <v>10</v>
      </c>
      <c r="B14" s="7" t="s">
        <v>37</v>
      </c>
      <c r="C14" s="7">
        <v>2023</v>
      </c>
      <c r="D14" s="7">
        <v>-0.11496292698764091</v>
      </c>
      <c r="E14" s="7">
        <v>119234184825086</v>
      </c>
      <c r="F14" s="7">
        <v>167669392704</v>
      </c>
      <c r="G14" s="7">
        <v>-0.95910266237650854</v>
      </c>
      <c r="H14" s="7">
        <v>2166963715091</v>
      </c>
      <c r="I14" s="7">
        <v>-1447718354797</v>
      </c>
      <c r="J14" s="7">
        <v>119234184825086</v>
      </c>
      <c r="K14" s="7">
        <v>-954396369644</v>
      </c>
      <c r="L14" s="7">
        <v>118279788455442</v>
      </c>
      <c r="M14" s="7">
        <v>-95759175291712</v>
      </c>
      <c r="N14" s="7">
        <v>22520613163730</v>
      </c>
      <c r="O14" s="7">
        <v>-1556146106982</v>
      </c>
      <c r="P14" s="7">
        <v>0</v>
      </c>
      <c r="Q14" s="7">
        <v>-20916710755306</v>
      </c>
      <c r="R14" s="7">
        <v>-1167651662536</v>
      </c>
      <c r="S14" s="7">
        <v>1047068353997</v>
      </c>
      <c r="T14" s="7">
        <v>36883419051</v>
      </c>
      <c r="U14" s="7">
        <v>-394259405152</v>
      </c>
      <c r="V14" s="7">
        <v>-357375986101</v>
      </c>
      <c r="W14" s="7">
        <v>689692367896</v>
      </c>
      <c r="X14" s="7">
        <v>-433257176515</v>
      </c>
      <c r="Y14" s="7">
        <v>-88606036442</v>
      </c>
      <c r="Z14" s="7">
        <v>167829154939</v>
      </c>
      <c r="AA14" s="7">
        <v>159762235</v>
      </c>
      <c r="AB14" s="7">
        <v>167669392704</v>
      </c>
    </row>
    <row r="15" spans="1:28" x14ac:dyDescent="0.35">
      <c r="A15" s="87">
        <v>11</v>
      </c>
      <c r="B15" s="7" t="s">
        <v>37</v>
      </c>
      <c r="C15" s="7">
        <v>2024</v>
      </c>
      <c r="D15" s="7">
        <v>0.1341135220353486</v>
      </c>
      <c r="E15" s="7">
        <v>135225101298992</v>
      </c>
      <c r="F15" s="7">
        <v>3721868441661</v>
      </c>
      <c r="G15" s="7">
        <v>21.197661610378159</v>
      </c>
      <c r="H15" s="7">
        <v>2376502605263</v>
      </c>
      <c r="I15" s="7">
        <v>-1137236129748</v>
      </c>
      <c r="J15" s="7">
        <v>135225101298992</v>
      </c>
      <c r="K15" s="7">
        <v>-883948450190</v>
      </c>
      <c r="L15" s="7">
        <v>134341152848802</v>
      </c>
      <c r="M15" s="7">
        <v>-106841942771781</v>
      </c>
      <c r="N15" s="7">
        <v>27499210077021</v>
      </c>
      <c r="O15" s="7">
        <v>-1188465609510</v>
      </c>
      <c r="P15" s="7">
        <v>-44596454899</v>
      </c>
      <c r="Q15" s="7">
        <v>-19849837609882</v>
      </c>
      <c r="R15" s="7">
        <v>-3565767583102</v>
      </c>
      <c r="S15" s="7">
        <v>5227045424891</v>
      </c>
      <c r="T15" s="7">
        <v>25743895664</v>
      </c>
      <c r="U15" s="7">
        <v>-427026307477</v>
      </c>
      <c r="V15" s="7">
        <v>-401282411813</v>
      </c>
      <c r="W15" s="7">
        <v>4825763013078</v>
      </c>
      <c r="X15" s="7">
        <v>-1282537116919</v>
      </c>
      <c r="Y15" s="7">
        <v>190062332561</v>
      </c>
      <c r="Z15" s="7">
        <v>3733288228720</v>
      </c>
      <c r="AA15" s="7">
        <v>11419787059</v>
      </c>
      <c r="AB15" s="7">
        <v>3721868441661</v>
      </c>
    </row>
  </sheetData>
  <sortState xmlns:xlrd2="http://schemas.microsoft.com/office/spreadsheetml/2017/richdata2" ref="C4:AB15">
    <sortCondition ref="C4:C15"/>
  </sortState>
  <pageMargins left="0.7" right="0.7" top="0.75" bottom="0.75" header="0.3" footer="0.3"/>
  <pageSetup scale="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8CE1-1512-4EEB-B2D5-532A7203A330}">
  <sheetPr>
    <pageSetUpPr fitToPage="1"/>
  </sheetPr>
  <dimension ref="A1:AK15"/>
  <sheetViews>
    <sheetView showGridLines="0" topLeftCell="O1" zoomScale="82" workbookViewId="0">
      <selection activeCell="T15" sqref="T15"/>
    </sheetView>
  </sheetViews>
  <sheetFormatPr defaultRowHeight="14.5" x14ac:dyDescent="0.35"/>
  <cols>
    <col min="3" max="3" width="10.26953125" bestFit="1" customWidth="1"/>
    <col min="4" max="4" width="22.81640625" bestFit="1" customWidth="1"/>
    <col min="5" max="5" width="19.6328125" bestFit="1" customWidth="1"/>
    <col min="6" max="6" width="18.1796875" bestFit="1" customWidth="1"/>
    <col min="7" max="7" width="17.1796875" bestFit="1" customWidth="1"/>
    <col min="8" max="9" width="19.6328125" bestFit="1" customWidth="1"/>
    <col min="10" max="10" width="20.6328125" bestFit="1" customWidth="1"/>
    <col min="11" max="12" width="28.54296875" bestFit="1" customWidth="1"/>
    <col min="13" max="13" width="26.7265625" bestFit="1" customWidth="1"/>
    <col min="14" max="14" width="18.1796875" bestFit="1" customWidth="1"/>
    <col min="15" max="15" width="18.1796875" customWidth="1"/>
    <col min="16" max="17" width="19.6328125" bestFit="1" customWidth="1"/>
    <col min="18" max="18" width="17.1796875" bestFit="1" customWidth="1"/>
    <col min="19" max="19" width="20.6328125" bestFit="1" customWidth="1"/>
    <col min="20" max="20" width="19.6328125" bestFit="1" customWidth="1"/>
    <col min="21" max="21" width="17.1796875" bestFit="1" customWidth="1"/>
    <col min="22" max="22" width="48.7265625" bestFit="1" customWidth="1"/>
    <col min="23" max="23" width="61.6328125" bestFit="1" customWidth="1"/>
    <col min="24" max="24" width="18.1796875" bestFit="1" customWidth="1"/>
    <col min="25" max="25" width="37.26953125" bestFit="1" customWidth="1"/>
    <col min="26" max="26" width="17.08984375" bestFit="1" customWidth="1"/>
    <col min="27" max="27" width="34.54296875" bestFit="1" customWidth="1"/>
    <col min="28" max="28" width="22.6328125" bestFit="1" customWidth="1"/>
    <col min="29" max="29" width="28.08984375" bestFit="1" customWidth="1"/>
    <col min="30" max="30" width="23.1796875" bestFit="1" customWidth="1"/>
    <col min="31" max="31" width="20.6328125" bestFit="1" customWidth="1"/>
    <col min="32" max="32" width="18.1796875" bestFit="1" customWidth="1"/>
    <col min="33" max="35" width="19.6328125" bestFit="1" customWidth="1"/>
    <col min="36" max="36" width="14.6328125" bestFit="1" customWidth="1"/>
    <col min="37" max="37" width="19.6328125" bestFit="1" customWidth="1"/>
  </cols>
  <sheetData>
    <row r="1" spans="1:37" s="84" customFormat="1" ht="19" thickBot="1" x14ac:dyDescent="0.5">
      <c r="A1" s="85" t="s">
        <v>54</v>
      </c>
    </row>
    <row r="3" spans="1:37" x14ac:dyDescent="0.35">
      <c r="B3" s="88" t="s">
        <v>0</v>
      </c>
      <c r="C3" s="88" t="s">
        <v>1</v>
      </c>
      <c r="D3" s="88" t="s">
        <v>95</v>
      </c>
      <c r="E3" s="88" t="s">
        <v>96</v>
      </c>
      <c r="F3" s="88" t="s">
        <v>97</v>
      </c>
      <c r="G3" s="88" t="s">
        <v>98</v>
      </c>
      <c r="H3" s="88" t="s">
        <v>99</v>
      </c>
      <c r="I3" s="88" t="s">
        <v>100</v>
      </c>
      <c r="J3" s="88" t="s">
        <v>101</v>
      </c>
      <c r="K3" s="88" t="s">
        <v>102</v>
      </c>
      <c r="L3" s="88" t="s">
        <v>103</v>
      </c>
      <c r="M3" s="88" t="s">
        <v>104</v>
      </c>
      <c r="N3" s="88" t="s">
        <v>105</v>
      </c>
      <c r="O3" s="88" t="s">
        <v>128</v>
      </c>
      <c r="P3" s="88" t="s">
        <v>106</v>
      </c>
      <c r="Q3" s="88" t="s">
        <v>107</v>
      </c>
      <c r="R3" s="88" t="s">
        <v>108</v>
      </c>
      <c r="S3" s="88" t="s">
        <v>109</v>
      </c>
      <c r="T3" s="88" t="s">
        <v>110</v>
      </c>
      <c r="U3" s="88" t="s">
        <v>111</v>
      </c>
      <c r="V3" s="88" t="s">
        <v>112</v>
      </c>
      <c r="W3" s="88" t="s">
        <v>113</v>
      </c>
      <c r="X3" s="88" t="s">
        <v>114</v>
      </c>
      <c r="Y3" s="88" t="s">
        <v>115</v>
      </c>
      <c r="Z3" s="88" t="s">
        <v>116</v>
      </c>
      <c r="AA3" s="88" t="s">
        <v>117</v>
      </c>
      <c r="AB3" s="88" t="s">
        <v>118</v>
      </c>
      <c r="AC3" s="88" t="s">
        <v>119</v>
      </c>
      <c r="AD3" s="88" t="s">
        <v>120</v>
      </c>
      <c r="AE3" s="88" t="s">
        <v>121</v>
      </c>
      <c r="AF3" s="88" t="s">
        <v>122</v>
      </c>
      <c r="AG3" s="88" t="s">
        <v>123</v>
      </c>
      <c r="AH3" s="88" t="s">
        <v>124</v>
      </c>
      <c r="AI3" s="88" t="s">
        <v>125</v>
      </c>
      <c r="AJ3" s="88" t="s">
        <v>126</v>
      </c>
      <c r="AK3" s="88" t="s">
        <v>127</v>
      </c>
    </row>
    <row r="4" spans="1:37" x14ac:dyDescent="0.35">
      <c r="A4" s="88">
        <v>0</v>
      </c>
      <c r="B4" s="7" t="s">
        <v>37</v>
      </c>
      <c r="C4" s="7">
        <v>2013</v>
      </c>
      <c r="D4" s="7">
        <v>350787629564</v>
      </c>
      <c r="E4" s="7">
        <v>34254161373</v>
      </c>
      <c r="F4" s="7">
        <v>2778672865</v>
      </c>
      <c r="G4" s="7">
        <v>0</v>
      </c>
      <c r="H4" s="7">
        <v>201097567</v>
      </c>
      <c r="I4" s="7">
        <v>26535371431</v>
      </c>
      <c r="J4" s="7">
        <v>414556932800</v>
      </c>
      <c r="K4" s="7">
        <v>-116625906539</v>
      </c>
      <c r="L4" s="7">
        <v>-340163891869</v>
      </c>
      <c r="M4" s="7">
        <v>129409197568</v>
      </c>
      <c r="N4" s="7">
        <v>101125017946</v>
      </c>
      <c r="O4" s="7">
        <f t="shared" ref="O4:O15" si="0">-(K4)-(L4)+(M4)-(N4)</f>
        <v>485073978030</v>
      </c>
      <c r="P4" s="7">
        <v>-26262404801</v>
      </c>
      <c r="Q4" s="7">
        <v>-58109616672</v>
      </c>
      <c r="R4" s="7">
        <v>0</v>
      </c>
      <c r="S4" s="7">
        <v>103929328433</v>
      </c>
      <c r="T4" s="7">
        <v>-142189977899</v>
      </c>
      <c r="U4" s="7">
        <v>4573757305</v>
      </c>
      <c r="V4" s="7">
        <v>0</v>
      </c>
      <c r="W4" s="7">
        <v>0</v>
      </c>
      <c r="X4" s="7">
        <v>0</v>
      </c>
      <c r="Y4" s="7">
        <v>19950000000</v>
      </c>
      <c r="Z4" s="7">
        <v>3002270118</v>
      </c>
      <c r="AA4" s="7">
        <v>-114663950476</v>
      </c>
      <c r="AB4" s="7">
        <v>108850459021</v>
      </c>
      <c r="AC4" s="7">
        <v>-20057078735</v>
      </c>
      <c r="AD4" s="7">
        <v>3616870963398</v>
      </c>
      <c r="AE4" s="7">
        <v>-3495027300214</v>
      </c>
      <c r="AF4" s="7">
        <v>0</v>
      </c>
      <c r="AG4" s="7">
        <v>210637043470</v>
      </c>
      <c r="AH4" s="7">
        <v>199902421427</v>
      </c>
      <c r="AI4" s="7">
        <v>104831347041</v>
      </c>
      <c r="AJ4" s="7">
        <v>0</v>
      </c>
      <c r="AK4" s="7">
        <v>304733768468</v>
      </c>
    </row>
    <row r="5" spans="1:37" x14ac:dyDescent="0.35">
      <c r="A5" s="88">
        <v>1</v>
      </c>
      <c r="B5" s="7" t="s">
        <v>37</v>
      </c>
      <c r="C5" s="7">
        <v>2014</v>
      </c>
      <c r="D5" s="7">
        <v>868197443094</v>
      </c>
      <c r="E5" s="7">
        <v>116388450156</v>
      </c>
      <c r="F5" s="7">
        <v>50319643793</v>
      </c>
      <c r="G5" s="7">
        <v>0</v>
      </c>
      <c r="H5" s="7">
        <v>-4921557749</v>
      </c>
      <c r="I5" s="7">
        <v>21261415761</v>
      </c>
      <c r="J5" s="7">
        <v>1051245395055</v>
      </c>
      <c r="K5" s="7">
        <v>-69681219038</v>
      </c>
      <c r="L5" s="7">
        <v>-948838589256</v>
      </c>
      <c r="M5" s="7">
        <v>415275921603</v>
      </c>
      <c r="N5" s="7">
        <v>-69527740506</v>
      </c>
      <c r="O5" s="7">
        <f t="shared" si="0"/>
        <v>1503323470403</v>
      </c>
      <c r="P5" s="7">
        <v>-21122048282</v>
      </c>
      <c r="Q5" s="7">
        <v>-221553246030</v>
      </c>
      <c r="R5" s="7">
        <v>-36133740038</v>
      </c>
      <c r="S5" s="7">
        <v>99664733508</v>
      </c>
      <c r="T5" s="7">
        <v>-266396524598</v>
      </c>
      <c r="U5" s="7">
        <v>1447928974</v>
      </c>
      <c r="V5" s="7">
        <v>0</v>
      </c>
      <c r="W5" s="7">
        <v>0</v>
      </c>
      <c r="X5" s="7">
        <v>-50000000000</v>
      </c>
      <c r="Y5" s="7">
        <v>0</v>
      </c>
      <c r="Z5" s="7">
        <v>6723644862</v>
      </c>
      <c r="AA5" s="7">
        <v>-308224950762</v>
      </c>
      <c r="AB5" s="7">
        <v>14163663481</v>
      </c>
      <c r="AC5" s="7">
        <v>-300394500</v>
      </c>
      <c r="AD5" s="7">
        <v>3786869312765</v>
      </c>
      <c r="AE5" s="7">
        <v>-3681368000939</v>
      </c>
      <c r="AF5" s="7">
        <v>-2617511830</v>
      </c>
      <c r="AG5" s="7">
        <v>116747068977</v>
      </c>
      <c r="AH5" s="7">
        <v>-91813148277</v>
      </c>
      <c r="AI5" s="7">
        <v>304733768468</v>
      </c>
      <c r="AJ5" s="7">
        <v>0</v>
      </c>
      <c r="AK5" s="7">
        <v>212920620191</v>
      </c>
    </row>
    <row r="6" spans="1:37" x14ac:dyDescent="0.35">
      <c r="A6" s="88">
        <v>2</v>
      </c>
      <c r="B6" s="7" t="s">
        <v>37</v>
      </c>
      <c r="C6" s="7">
        <v>2015</v>
      </c>
      <c r="D6" s="7">
        <v>1385783787694</v>
      </c>
      <c r="E6" s="7">
        <v>197056011824</v>
      </c>
      <c r="F6" s="7">
        <v>32187455819</v>
      </c>
      <c r="G6" s="7">
        <v>-138916487</v>
      </c>
      <c r="H6" s="7">
        <v>-856415030</v>
      </c>
      <c r="I6" s="7">
        <v>38893852014</v>
      </c>
      <c r="J6" s="7">
        <v>1652925775834</v>
      </c>
      <c r="K6" s="7">
        <v>-476685311770</v>
      </c>
      <c r="L6" s="7">
        <v>-2756191562693</v>
      </c>
      <c r="M6" s="7">
        <v>1235357266488</v>
      </c>
      <c r="N6" s="7">
        <v>-63386564833</v>
      </c>
      <c r="O6" s="7">
        <f t="shared" si="0"/>
        <v>4531620705784</v>
      </c>
      <c r="P6" s="7">
        <v>-37442521379</v>
      </c>
      <c r="Q6" s="7">
        <v>-196048457727</v>
      </c>
      <c r="R6" s="7">
        <v>0</v>
      </c>
      <c r="S6" s="7">
        <v>-641471376080</v>
      </c>
      <c r="T6" s="7">
        <v>-586517897472</v>
      </c>
      <c r="U6" s="7">
        <v>0</v>
      </c>
      <c r="V6" s="7">
        <v>0</v>
      </c>
      <c r="W6" s="7">
        <v>0</v>
      </c>
      <c r="X6" s="7">
        <v>-72239580000</v>
      </c>
      <c r="Y6" s="7">
        <v>0</v>
      </c>
      <c r="Z6" s="7">
        <v>913660286</v>
      </c>
      <c r="AA6" s="7">
        <v>-657843817186</v>
      </c>
      <c r="AB6" s="7">
        <v>0</v>
      </c>
      <c r="AC6" s="7">
        <v>-2153900000</v>
      </c>
      <c r="AD6" s="7">
        <v>8129261915021</v>
      </c>
      <c r="AE6" s="7">
        <v>-6695006247613</v>
      </c>
      <c r="AF6" s="7">
        <v>-1834225628</v>
      </c>
      <c r="AG6" s="7">
        <v>1430267541780</v>
      </c>
      <c r="AH6" s="7">
        <v>130952348514</v>
      </c>
      <c r="AI6" s="7">
        <v>212920620191</v>
      </c>
      <c r="AJ6" s="7">
        <v>0</v>
      </c>
      <c r="AK6" s="7">
        <v>343872968705</v>
      </c>
    </row>
    <row r="7" spans="1:37" x14ac:dyDescent="0.35">
      <c r="A7" s="88">
        <v>3</v>
      </c>
      <c r="B7" s="7" t="s">
        <v>37</v>
      </c>
      <c r="C7" s="7">
        <v>2016</v>
      </c>
      <c r="D7" s="7">
        <v>2005914114923</v>
      </c>
      <c r="E7" s="7">
        <v>386634522356</v>
      </c>
      <c r="F7" s="7">
        <v>78431491258</v>
      </c>
      <c r="G7" s="7">
        <v>-91382580</v>
      </c>
      <c r="H7" s="7">
        <v>2261763</v>
      </c>
      <c r="I7" s="7">
        <v>119645695306</v>
      </c>
      <c r="J7" s="7">
        <v>2590536703026</v>
      </c>
      <c r="K7" s="7">
        <v>-989517728630</v>
      </c>
      <c r="L7" s="7">
        <v>-4503949077200</v>
      </c>
      <c r="M7" s="7">
        <v>3124564571480</v>
      </c>
      <c r="N7" s="7">
        <v>-164867267201</v>
      </c>
      <c r="O7" s="7">
        <f t="shared" si="0"/>
        <v>8782898644511</v>
      </c>
      <c r="P7" s="7">
        <v>-112394627462</v>
      </c>
      <c r="Q7" s="7">
        <v>-530854203913</v>
      </c>
      <c r="R7" s="7">
        <v>0</v>
      </c>
      <c r="S7" s="7">
        <v>-586481629900</v>
      </c>
      <c r="T7" s="7">
        <v>-1278788918537</v>
      </c>
      <c r="U7" s="7">
        <v>951588323</v>
      </c>
      <c r="V7" s="7">
        <v>0</v>
      </c>
      <c r="W7" s="7">
        <v>0</v>
      </c>
      <c r="X7" s="7">
        <v>0</v>
      </c>
      <c r="Y7" s="7">
        <v>0</v>
      </c>
      <c r="Z7" s="7">
        <v>1799386697</v>
      </c>
      <c r="AA7" s="7">
        <v>-1276037943517</v>
      </c>
      <c r="AB7" s="7">
        <v>0</v>
      </c>
      <c r="AC7" s="7">
        <v>-315300000</v>
      </c>
      <c r="AD7" s="7">
        <v>19961551061988</v>
      </c>
      <c r="AE7" s="7">
        <v>-17225505287912</v>
      </c>
      <c r="AF7" s="7">
        <v>-220130282800</v>
      </c>
      <c r="AG7" s="7">
        <v>2515600191276</v>
      </c>
      <c r="AH7" s="7">
        <v>653080617859</v>
      </c>
      <c r="AI7" s="7">
        <v>343872968705</v>
      </c>
      <c r="AJ7" s="7">
        <v>29875448</v>
      </c>
      <c r="AK7" s="7">
        <v>996983462012</v>
      </c>
    </row>
    <row r="8" spans="1:37" x14ac:dyDescent="0.35">
      <c r="A8" s="88">
        <v>4</v>
      </c>
      <c r="B8" s="7" t="s">
        <v>37</v>
      </c>
      <c r="C8" s="7">
        <v>2017</v>
      </c>
      <c r="D8" s="7">
        <v>2809312032646</v>
      </c>
      <c r="E8" s="7">
        <v>689713708632</v>
      </c>
      <c r="F8" s="7">
        <v>125969042598</v>
      </c>
      <c r="G8" s="7">
        <v>911764559</v>
      </c>
      <c r="H8" s="7">
        <v>-35336741307</v>
      </c>
      <c r="I8" s="7">
        <v>233202340492</v>
      </c>
      <c r="J8" s="7">
        <v>3823772147620</v>
      </c>
      <c r="K8" s="7">
        <v>-1322949244960</v>
      </c>
      <c r="L8" s="7">
        <v>-2796297892101</v>
      </c>
      <c r="M8" s="7">
        <v>3970336761157</v>
      </c>
      <c r="N8" s="7">
        <v>-96805747662</v>
      </c>
      <c r="O8" s="7">
        <f t="shared" si="0"/>
        <v>8186389645880</v>
      </c>
      <c r="P8" s="7">
        <v>-223723867627</v>
      </c>
      <c r="Q8" s="7">
        <v>-690668199572</v>
      </c>
      <c r="R8" s="7">
        <v>0</v>
      </c>
      <c r="S8" s="7">
        <v>2663663956855</v>
      </c>
      <c r="T8" s="7">
        <v>-2065069567410</v>
      </c>
      <c r="U8" s="7">
        <v>180000000</v>
      </c>
      <c r="V8" s="7">
        <v>-210280000000</v>
      </c>
      <c r="W8" s="7">
        <v>125580000000</v>
      </c>
      <c r="X8" s="7">
        <v>0</v>
      </c>
      <c r="Y8" s="7">
        <v>0</v>
      </c>
      <c r="Z8" s="7">
        <v>29374580928</v>
      </c>
      <c r="AA8" s="7">
        <v>-2120214986482</v>
      </c>
      <c r="AB8" s="7">
        <v>92466480000</v>
      </c>
      <c r="AC8" s="7">
        <v>0</v>
      </c>
      <c r="AD8" s="7">
        <v>29465789268692</v>
      </c>
      <c r="AE8" s="7">
        <v>-27456000269116</v>
      </c>
      <c r="AF8" s="7">
        <v>-231718927130</v>
      </c>
      <c r="AG8" s="7">
        <v>1870536552446</v>
      </c>
      <c r="AH8" s="7">
        <v>2413985522819</v>
      </c>
      <c r="AI8" s="7">
        <v>996983462012</v>
      </c>
      <c r="AJ8" s="7">
        <v>14366562</v>
      </c>
      <c r="AK8" s="7">
        <v>3410983351393</v>
      </c>
    </row>
    <row r="9" spans="1:37" x14ac:dyDescent="0.35">
      <c r="A9" s="88">
        <v>5</v>
      </c>
      <c r="B9" s="7" t="s">
        <v>37</v>
      </c>
      <c r="C9" s="7">
        <v>2018</v>
      </c>
      <c r="D9" s="7">
        <v>3786318568918</v>
      </c>
      <c r="E9" s="7">
        <v>1222868683717</v>
      </c>
      <c r="F9" s="7">
        <v>126083626828</v>
      </c>
      <c r="G9" s="7">
        <v>-107059306</v>
      </c>
      <c r="H9" s="7">
        <v>-84857279584</v>
      </c>
      <c r="I9" s="7">
        <v>436416577674</v>
      </c>
      <c r="J9" s="7">
        <v>5486723118247</v>
      </c>
      <c r="K9" s="7">
        <v>1246646823981</v>
      </c>
      <c r="L9" s="7">
        <v>-4672944194460</v>
      </c>
      <c r="M9" s="7">
        <v>1331042865781</v>
      </c>
      <c r="N9" s="7">
        <v>126753313780</v>
      </c>
      <c r="O9" s="7">
        <f t="shared" si="0"/>
        <v>4630586922480</v>
      </c>
      <c r="P9" s="7">
        <v>-427564376510</v>
      </c>
      <c r="Q9" s="7">
        <v>-829523019750</v>
      </c>
      <c r="R9" s="7">
        <v>0</v>
      </c>
      <c r="S9" s="7">
        <v>2261134531069</v>
      </c>
      <c r="T9" s="7">
        <v>-1495931919038</v>
      </c>
      <c r="U9" s="7">
        <v>1339965525</v>
      </c>
      <c r="V9" s="7">
        <v>-85922451739</v>
      </c>
      <c r="W9" s="7">
        <v>0</v>
      </c>
      <c r="X9" s="7">
        <v>-828166470141</v>
      </c>
      <c r="Y9" s="7">
        <v>0</v>
      </c>
      <c r="Z9" s="7">
        <v>64286835061</v>
      </c>
      <c r="AA9" s="7">
        <v>-2344394040332</v>
      </c>
      <c r="AB9" s="7">
        <v>705355067201</v>
      </c>
      <c r="AC9" s="7">
        <v>-729700000</v>
      </c>
      <c r="AD9" s="7">
        <v>31893805156672</v>
      </c>
      <c r="AE9" s="7">
        <v>-31690848740269</v>
      </c>
      <c r="AF9" s="7">
        <v>-485862426828</v>
      </c>
      <c r="AG9" s="7">
        <v>421719356776</v>
      </c>
      <c r="AH9" s="7">
        <v>338459847513</v>
      </c>
      <c r="AI9" s="7">
        <v>3410983351393</v>
      </c>
      <c r="AJ9" s="7">
        <v>107059306</v>
      </c>
      <c r="AK9" s="7">
        <v>3749550258212</v>
      </c>
    </row>
    <row r="10" spans="1:37" x14ac:dyDescent="0.35">
      <c r="A10" s="88">
        <v>6</v>
      </c>
      <c r="B10" s="7" t="s">
        <v>37</v>
      </c>
      <c r="C10" s="7">
        <v>2019</v>
      </c>
      <c r="D10" s="7">
        <v>5053447204696</v>
      </c>
      <c r="E10" s="7">
        <v>1442826938954</v>
      </c>
      <c r="F10" s="7">
        <v>90495782206</v>
      </c>
      <c r="G10" s="7">
        <v>-27160364</v>
      </c>
      <c r="H10" s="7">
        <v>-341194613832</v>
      </c>
      <c r="I10" s="7">
        <v>568136717134</v>
      </c>
      <c r="J10" s="7">
        <v>6813684868794</v>
      </c>
      <c r="K10" s="7">
        <v>-675979882201</v>
      </c>
      <c r="L10" s="7">
        <v>-8374797030131</v>
      </c>
      <c r="M10" s="7">
        <v>2823942311184</v>
      </c>
      <c r="N10" s="7">
        <v>-227805034461</v>
      </c>
      <c r="O10" s="7">
        <f t="shared" si="0"/>
        <v>12102524257977</v>
      </c>
      <c r="P10" s="7">
        <v>-537997464046</v>
      </c>
      <c r="Q10" s="7">
        <v>-1092128547184</v>
      </c>
      <c r="R10" s="7">
        <v>-15000000000</v>
      </c>
      <c r="S10" s="7">
        <v>-1286080778045</v>
      </c>
      <c r="T10" s="7">
        <v>-3066921164140</v>
      </c>
      <c r="U10" s="7">
        <v>1290807344</v>
      </c>
      <c r="V10" s="7">
        <v>-8997469863015</v>
      </c>
      <c r="W10" s="7">
        <v>5911392314754</v>
      </c>
      <c r="X10" s="7">
        <v>0</v>
      </c>
      <c r="Y10" s="7">
        <v>0</v>
      </c>
      <c r="Z10" s="7">
        <v>278946264804</v>
      </c>
      <c r="AA10" s="7">
        <v>-5872761640253</v>
      </c>
      <c r="AB10" s="7">
        <v>90454820000</v>
      </c>
      <c r="AC10" s="7">
        <v>-4850060000</v>
      </c>
      <c r="AD10" s="7">
        <v>45905952301242</v>
      </c>
      <c r="AE10" s="7">
        <v>-38801961791867</v>
      </c>
      <c r="AF10" s="7">
        <v>-665093453185</v>
      </c>
      <c r="AG10" s="7">
        <v>6524501816190</v>
      </c>
      <c r="AH10" s="7">
        <v>-634340602108</v>
      </c>
      <c r="AI10" s="7">
        <v>3749550258212</v>
      </c>
      <c r="AJ10" s="7">
        <v>27160364</v>
      </c>
      <c r="AK10" s="7">
        <v>3115236816468</v>
      </c>
    </row>
    <row r="11" spans="1:37" x14ac:dyDescent="0.35">
      <c r="A11" s="88">
        <v>7</v>
      </c>
      <c r="B11" s="7" t="s">
        <v>37</v>
      </c>
      <c r="C11" s="7">
        <v>2020</v>
      </c>
      <c r="D11" s="7">
        <v>5409735407353</v>
      </c>
      <c r="E11" s="7">
        <v>2195583071035</v>
      </c>
      <c r="F11" s="7">
        <v>58366659386</v>
      </c>
      <c r="G11" s="7">
        <v>-36874578</v>
      </c>
      <c r="H11" s="7">
        <v>-557627148536</v>
      </c>
      <c r="I11" s="7">
        <v>594003821021</v>
      </c>
      <c r="J11" s="7">
        <v>7700024935681</v>
      </c>
      <c r="K11" s="7">
        <v>850493238036</v>
      </c>
      <c r="L11" s="7">
        <v>6269571171519</v>
      </c>
      <c r="M11" s="7">
        <v>-1894206905085</v>
      </c>
      <c r="N11" s="7">
        <v>-75119169600</v>
      </c>
      <c r="O11" s="7">
        <f t="shared" si="0"/>
        <v>-8939152145040</v>
      </c>
      <c r="P11" s="7">
        <v>-563748612045</v>
      </c>
      <c r="Q11" s="7">
        <v>-1494585439732</v>
      </c>
      <c r="R11" s="7">
        <v>0</v>
      </c>
      <c r="S11" s="7">
        <v>10792429218774</v>
      </c>
      <c r="T11" s="7">
        <v>-3911358160002</v>
      </c>
      <c r="U11" s="7">
        <v>2018075304</v>
      </c>
      <c r="V11" s="7">
        <v>-11512468958904</v>
      </c>
      <c r="W11" s="7">
        <v>6512150136986</v>
      </c>
      <c r="X11" s="7">
        <v>0</v>
      </c>
      <c r="Y11" s="7">
        <v>0</v>
      </c>
      <c r="Z11" s="7">
        <v>335398013989</v>
      </c>
      <c r="AA11" s="7">
        <v>-8574260892627</v>
      </c>
      <c r="AB11" s="7">
        <v>105200450000</v>
      </c>
      <c r="AC11" s="7">
        <v>-6040930000</v>
      </c>
      <c r="AD11" s="7">
        <v>51168161383884</v>
      </c>
      <c r="AE11" s="7">
        <v>-48573996682152</v>
      </c>
      <c r="AF11" s="7">
        <v>-678908841000</v>
      </c>
      <c r="AG11" s="7">
        <v>2014415380732</v>
      </c>
      <c r="AH11" s="7">
        <v>4232583706879</v>
      </c>
      <c r="AI11" s="7">
        <v>3115236816468</v>
      </c>
      <c r="AJ11" s="7">
        <v>36874578</v>
      </c>
      <c r="AK11" s="7">
        <v>7347857397925</v>
      </c>
    </row>
    <row r="12" spans="1:37" x14ac:dyDescent="0.35">
      <c r="A12" s="88">
        <v>8</v>
      </c>
      <c r="B12" s="7" t="s">
        <v>37</v>
      </c>
      <c r="C12" s="7">
        <v>2021</v>
      </c>
      <c r="D12" s="7">
        <v>6471583750543</v>
      </c>
      <c r="E12" s="7">
        <v>2920713608410</v>
      </c>
      <c r="F12" s="7">
        <v>179550717177</v>
      </c>
      <c r="G12" s="7">
        <v>-146653994</v>
      </c>
      <c r="H12" s="7">
        <v>-959323580633</v>
      </c>
      <c r="I12" s="7">
        <v>674427746189</v>
      </c>
      <c r="J12" s="7">
        <v>9286805587692</v>
      </c>
      <c r="K12" s="7">
        <v>-827596105467</v>
      </c>
      <c r="L12" s="7">
        <v>-9923705315353</v>
      </c>
      <c r="M12" s="7">
        <v>3781614904801</v>
      </c>
      <c r="N12" s="7">
        <v>-27490477725</v>
      </c>
      <c r="O12" s="7">
        <f t="shared" si="0"/>
        <v>14560406803346</v>
      </c>
      <c r="P12" s="7">
        <v>-585136035219</v>
      </c>
      <c r="Q12" s="7">
        <v>-1533102122807</v>
      </c>
      <c r="R12" s="7">
        <v>0</v>
      </c>
      <c r="S12" s="7">
        <v>171390435922</v>
      </c>
      <c r="T12" s="7">
        <v>-4976876590016</v>
      </c>
      <c r="U12" s="7">
        <v>1107020670</v>
      </c>
      <c r="V12" s="7">
        <v>-19225219180045</v>
      </c>
      <c r="W12" s="7">
        <v>12163993969618</v>
      </c>
      <c r="X12" s="7">
        <v>-16385001737</v>
      </c>
      <c r="Y12" s="7">
        <v>796626468011</v>
      </c>
      <c r="Z12" s="7">
        <v>1883709063</v>
      </c>
      <c r="AA12" s="7">
        <v>-11254869604436</v>
      </c>
      <c r="AB12" s="7">
        <v>228253030000</v>
      </c>
      <c r="AC12" s="7">
        <v>-2320000000</v>
      </c>
      <c r="AD12" s="7">
        <v>63936208247950</v>
      </c>
      <c r="AE12" s="7">
        <v>-56045130957737</v>
      </c>
      <c r="AF12" s="7">
        <v>-239519441063</v>
      </c>
      <c r="AG12" s="7">
        <v>7877490879150</v>
      </c>
      <c r="AH12" s="7">
        <v>-3205988289364</v>
      </c>
      <c r="AI12" s="7">
        <v>7347857397925</v>
      </c>
      <c r="AJ12" s="7">
        <v>146653994</v>
      </c>
      <c r="AK12" s="7">
        <v>4142015762555</v>
      </c>
    </row>
    <row r="13" spans="1:37" x14ac:dyDescent="0.35">
      <c r="A13" s="88">
        <v>9</v>
      </c>
      <c r="B13" s="7" t="s">
        <v>37</v>
      </c>
      <c r="C13" s="7">
        <v>2022</v>
      </c>
      <c r="D13" s="7">
        <v>6056355373558</v>
      </c>
      <c r="E13" s="7">
        <v>3540324726294</v>
      </c>
      <c r="F13" s="7">
        <v>-321799366884</v>
      </c>
      <c r="G13" s="7">
        <v>284374414</v>
      </c>
      <c r="H13" s="7">
        <v>-348599792355</v>
      </c>
      <c r="I13" s="7">
        <v>1362143909103</v>
      </c>
      <c r="J13" s="7">
        <v>10288709224130</v>
      </c>
      <c r="K13" s="7">
        <v>-588827639446</v>
      </c>
      <c r="L13" s="7">
        <v>3791937421033</v>
      </c>
      <c r="M13" s="7">
        <v>-2286756979213</v>
      </c>
      <c r="N13" s="7">
        <v>-101041271147</v>
      </c>
      <c r="O13" s="7">
        <f t="shared" si="0"/>
        <v>-5388825489653</v>
      </c>
      <c r="P13" s="7">
        <v>-1322381109404</v>
      </c>
      <c r="Q13" s="7">
        <v>-1805340844308</v>
      </c>
      <c r="R13" s="7">
        <v>0</v>
      </c>
      <c r="S13" s="7">
        <v>7976298801645</v>
      </c>
      <c r="T13" s="7">
        <v>-4465359523505</v>
      </c>
      <c r="U13" s="7">
        <v>5331159526</v>
      </c>
      <c r="V13" s="7">
        <v>-20799334065331</v>
      </c>
      <c r="W13" s="7">
        <v>25851966071069</v>
      </c>
      <c r="X13" s="7">
        <v>-181034840000</v>
      </c>
      <c r="Y13" s="7">
        <v>0</v>
      </c>
      <c r="Z13" s="7">
        <v>1137542621557</v>
      </c>
      <c r="AA13" s="7">
        <v>1549111423316</v>
      </c>
      <c r="AB13" s="7">
        <v>192628370000</v>
      </c>
      <c r="AC13" s="7">
        <v>-5025640000</v>
      </c>
      <c r="AD13" s="7">
        <v>65251647851081</v>
      </c>
      <c r="AE13" s="7">
        <v>-73313739286999</v>
      </c>
      <c r="AF13" s="7">
        <v>-731854815000</v>
      </c>
      <c r="AG13" s="7">
        <v>-8606343520918</v>
      </c>
      <c r="AH13" s="7">
        <v>919066704043</v>
      </c>
      <c r="AI13" s="7">
        <v>4142015762555</v>
      </c>
      <c r="AJ13" s="7">
        <v>-61919176</v>
      </c>
      <c r="AK13" s="7">
        <v>5061020547422</v>
      </c>
    </row>
    <row r="14" spans="1:37" x14ac:dyDescent="0.35">
      <c r="A14" s="88">
        <v>10</v>
      </c>
      <c r="B14" s="7" t="s">
        <v>37</v>
      </c>
      <c r="C14" s="7">
        <v>2023</v>
      </c>
      <c r="D14" s="7">
        <v>689692367896</v>
      </c>
      <c r="E14" s="7">
        <v>3351314267883</v>
      </c>
      <c r="F14" s="7">
        <v>-165930068132</v>
      </c>
      <c r="G14" s="7">
        <v>83631272202</v>
      </c>
      <c r="H14" s="7">
        <v>-1509203341265</v>
      </c>
      <c r="I14" s="7">
        <v>1447718354797</v>
      </c>
      <c r="J14" s="7">
        <v>3897222853381</v>
      </c>
      <c r="K14" s="7">
        <v>672440536688</v>
      </c>
      <c r="L14" s="7">
        <v>4169031757473</v>
      </c>
      <c r="M14" s="7">
        <v>-3136706601092</v>
      </c>
      <c r="N14" s="7">
        <v>130000103455</v>
      </c>
      <c r="O14" s="7">
        <f t="shared" si="0"/>
        <v>-8108178998708</v>
      </c>
      <c r="P14" s="7">
        <v>-1435731870616</v>
      </c>
      <c r="Q14" s="7">
        <v>-860429603219</v>
      </c>
      <c r="R14" s="7">
        <v>0</v>
      </c>
      <c r="S14" s="7">
        <v>3435827176070</v>
      </c>
      <c r="T14" s="7">
        <v>-523383330794</v>
      </c>
      <c r="U14" s="7">
        <v>31276790650</v>
      </c>
      <c r="V14" s="7">
        <v>-34151374180637</v>
      </c>
      <c r="W14" s="7">
        <v>22805115462454</v>
      </c>
      <c r="X14" s="7">
        <v>-105597412729</v>
      </c>
      <c r="Y14" s="7">
        <v>0</v>
      </c>
      <c r="Z14" s="7">
        <v>1112667974114</v>
      </c>
      <c r="AA14" s="7">
        <v>-10831294696942</v>
      </c>
      <c r="AB14" s="7">
        <v>443220000</v>
      </c>
      <c r="AC14" s="7">
        <v>-9783280000</v>
      </c>
      <c r="AD14" s="7">
        <v>70373733043570</v>
      </c>
      <c r="AE14" s="7">
        <v>-61933329857245</v>
      </c>
      <c r="AF14" s="7">
        <v>-731280023500</v>
      </c>
      <c r="AG14" s="7">
        <v>7699783102825</v>
      </c>
      <c r="AH14" s="7">
        <v>304315581953</v>
      </c>
      <c r="AI14" s="7">
        <v>5061020547422</v>
      </c>
      <c r="AJ14" s="7">
        <v>368727797</v>
      </c>
      <c r="AK14" s="7">
        <v>5365704857172</v>
      </c>
    </row>
    <row r="15" spans="1:37" x14ac:dyDescent="0.35">
      <c r="A15" s="88">
        <v>11</v>
      </c>
      <c r="B15" s="7" t="s">
        <v>37</v>
      </c>
      <c r="C15" s="7">
        <v>2024</v>
      </c>
      <c r="D15" s="7">
        <v>4825763013078</v>
      </c>
      <c r="E15" s="7">
        <v>2913419081483</v>
      </c>
      <c r="F15" s="7">
        <v>220952651591</v>
      </c>
      <c r="G15" s="7">
        <v>25689580954</v>
      </c>
      <c r="H15" s="7">
        <v>-1729164103487</v>
      </c>
      <c r="I15" s="7">
        <v>1137236129748</v>
      </c>
      <c r="J15" s="7">
        <v>7393896353367</v>
      </c>
      <c r="K15" s="7">
        <v>151205190961</v>
      </c>
      <c r="L15" s="7">
        <v>-636927914305</v>
      </c>
      <c r="M15" s="7">
        <v>3581806724649</v>
      </c>
      <c r="N15" s="7">
        <v>127788870902</v>
      </c>
      <c r="O15" s="7">
        <f t="shared" si="0"/>
        <v>3939740577091</v>
      </c>
      <c r="P15" s="7">
        <v>-1141521540734</v>
      </c>
      <c r="Q15" s="7">
        <v>-958914978098</v>
      </c>
      <c r="R15" s="7">
        <v>0</v>
      </c>
      <c r="S15" s="7">
        <v>8517332706742</v>
      </c>
      <c r="T15" s="7">
        <v>-303747827395</v>
      </c>
      <c r="U15" s="7">
        <v>54661690191</v>
      </c>
      <c r="V15" s="7">
        <v>-52159250994595</v>
      </c>
      <c r="W15" s="7">
        <v>38289265386964</v>
      </c>
      <c r="X15" s="7">
        <v>0</v>
      </c>
      <c r="Y15" s="7">
        <v>0</v>
      </c>
      <c r="Z15" s="7">
        <v>2375786074417</v>
      </c>
      <c r="AA15" s="7">
        <v>-11743285670418</v>
      </c>
      <c r="AB15" s="7">
        <v>1771634338542</v>
      </c>
      <c r="AC15" s="7">
        <v>-9141790000</v>
      </c>
      <c r="AD15" s="7">
        <v>74756279079533</v>
      </c>
      <c r="AE15" s="7">
        <v>-73030338420383</v>
      </c>
      <c r="AF15" s="7">
        <v>-730957694000</v>
      </c>
      <c r="AG15" s="7">
        <v>2757475513692</v>
      </c>
      <c r="AH15" s="7">
        <v>-468477449984</v>
      </c>
      <c r="AI15" s="7">
        <v>5365704857172</v>
      </c>
      <c r="AJ15" s="7">
        <v>104133542</v>
      </c>
      <c r="AK15" s="7">
        <v>4897331540730</v>
      </c>
    </row>
  </sheetData>
  <sortState xmlns:xlrd2="http://schemas.microsoft.com/office/spreadsheetml/2017/richdata2" ref="B4:AK15">
    <sortCondition ref="C4:C15"/>
  </sortState>
  <pageMargins left="0.7" right="0.7" top="0.75" bottom="0.75" header="0.3" footer="0.3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B71A-CAD2-49D5-85D8-F9BC13894CAB}">
  <sheetPr>
    <pageSetUpPr fitToPage="1"/>
  </sheetPr>
  <dimension ref="A2:H26"/>
  <sheetViews>
    <sheetView showGridLines="0" topLeftCell="A7" workbookViewId="0">
      <selection activeCell="N26" sqref="N26"/>
    </sheetView>
  </sheetViews>
  <sheetFormatPr defaultRowHeight="14.5" x14ac:dyDescent="0.35"/>
  <cols>
    <col min="1" max="1" width="10.453125" bestFit="1" customWidth="1"/>
    <col min="2" max="2" width="11.90625" customWidth="1"/>
    <col min="3" max="3" width="17.90625" customWidth="1"/>
    <col min="4" max="4" width="14.6328125" customWidth="1"/>
    <col min="5" max="5" width="14.26953125" bestFit="1" customWidth="1"/>
    <col min="6" max="6" width="16.26953125" bestFit="1" customWidth="1"/>
    <col min="8" max="8" width="10.453125" bestFit="1" customWidth="1"/>
  </cols>
  <sheetData>
    <row r="2" spans="1:8" s="84" customFormat="1" ht="19" thickBot="1" x14ac:dyDescent="0.5">
      <c r="A2" s="85" t="s">
        <v>214</v>
      </c>
    </row>
    <row r="3" spans="1:8" s="89" customFormat="1" ht="18.5" x14ac:dyDescent="0.45">
      <c r="A3" t="s">
        <v>216</v>
      </c>
    </row>
    <row r="5" spans="1:8" x14ac:dyDescent="0.35">
      <c r="B5" s="86" t="s">
        <v>203</v>
      </c>
      <c r="C5" s="86" t="s">
        <v>205</v>
      </c>
      <c r="D5" s="86" t="s">
        <v>204</v>
      </c>
      <c r="E5" s="86" t="s">
        <v>234</v>
      </c>
      <c r="F5" s="86" t="s">
        <v>235</v>
      </c>
    </row>
    <row r="6" spans="1:8" x14ac:dyDescent="0.35">
      <c r="A6" s="76">
        <v>43465</v>
      </c>
      <c r="B6" s="7">
        <f>86516*40%</f>
        <v>34606.400000000001</v>
      </c>
      <c r="C6" s="7">
        <f t="shared" ref="C6" si="0">86516*55%</f>
        <v>47583.8</v>
      </c>
      <c r="D6" s="7">
        <f>86516*5%</f>
        <v>4325.8</v>
      </c>
      <c r="E6" s="7"/>
      <c r="F6" s="7">
        <f t="shared" ref="F6:F13" si="1">SUM(B6:E6)</f>
        <v>86516.000000000015</v>
      </c>
    </row>
    <row r="7" spans="1:8" x14ac:dyDescent="0.35">
      <c r="A7" s="76">
        <v>43830</v>
      </c>
      <c r="B7" s="7">
        <f>102174*32.5%</f>
        <v>33206.550000000003</v>
      </c>
      <c r="C7" s="7">
        <f>102174*57%</f>
        <v>58239.179999999993</v>
      </c>
      <c r="D7" s="7">
        <f>102174*10.5%</f>
        <v>10728.27</v>
      </c>
      <c r="E7" s="7"/>
      <c r="F7" s="7">
        <f t="shared" si="1"/>
        <v>102174</v>
      </c>
    </row>
    <row r="8" spans="1:8" x14ac:dyDescent="0.35">
      <c r="A8" s="76">
        <v>44196</v>
      </c>
      <c r="B8" s="7">
        <f>108546*27.2%</f>
        <v>29524.512000000002</v>
      </c>
      <c r="C8" s="7">
        <f t="shared" ref="C8" si="2">108546*53.2%</f>
        <v>57746.472000000002</v>
      </c>
      <c r="D8" s="7">
        <f>108546*19.6%</f>
        <v>21275.016</v>
      </c>
      <c r="E8" s="7"/>
      <c r="F8" s="7">
        <f t="shared" si="1"/>
        <v>108546</v>
      </c>
    </row>
    <row r="9" spans="1:8" x14ac:dyDescent="0.35">
      <c r="A9" s="76">
        <v>44561</v>
      </c>
      <c r="B9" s="7">
        <f>122958*25.7%</f>
        <v>31600.206000000002</v>
      </c>
      <c r="C9" s="7">
        <f>122958*51%</f>
        <v>62708.58</v>
      </c>
      <c r="D9" s="7">
        <f>122958*22.9%</f>
        <v>28157.381999999998</v>
      </c>
      <c r="E9" s="7">
        <f>122958*0.4%</f>
        <v>491.83199999999999</v>
      </c>
      <c r="F9" s="7">
        <f t="shared" si="1"/>
        <v>122958</v>
      </c>
    </row>
    <row r="10" spans="1:8" x14ac:dyDescent="0.35">
      <c r="A10" s="76">
        <v>44926</v>
      </c>
      <c r="B10" s="7">
        <f>133405*26%</f>
        <v>34685.300000000003</v>
      </c>
      <c r="C10" s="7">
        <f t="shared" ref="C10" si="3">133405*51.7%</f>
        <v>68970.384999999995</v>
      </c>
      <c r="D10" s="7">
        <f>133405*20.3%</f>
        <v>27081.215</v>
      </c>
      <c r="E10" s="7">
        <f>133405*2%</f>
        <v>2668.1</v>
      </c>
      <c r="F10" s="7">
        <f t="shared" si="1"/>
        <v>133405</v>
      </c>
    </row>
    <row r="11" spans="1:8" x14ac:dyDescent="0.35">
      <c r="A11" s="76">
        <v>45291</v>
      </c>
      <c r="B11" s="7">
        <f>118280*23.9%</f>
        <v>28268.92</v>
      </c>
      <c r="C11" s="7">
        <f>118280*46.7%</f>
        <v>55236.76</v>
      </c>
      <c r="D11" s="7">
        <f>118280*26.7%</f>
        <v>31580.760000000002</v>
      </c>
      <c r="E11" s="7">
        <f>118280*2.7%</f>
        <v>3193.5600000000004</v>
      </c>
      <c r="F11" s="7">
        <f t="shared" si="1"/>
        <v>118280</v>
      </c>
    </row>
    <row r="12" spans="1:8" x14ac:dyDescent="0.35">
      <c r="A12" s="76">
        <v>45657</v>
      </c>
      <c r="B12" s="7">
        <f>134341*22.4%</f>
        <v>30092.383999999998</v>
      </c>
      <c r="C12" s="7">
        <f>134341*44.3%</f>
        <v>59513.062999999995</v>
      </c>
      <c r="D12" s="7">
        <f>134341*30.6%</f>
        <v>41108.345999999998</v>
      </c>
      <c r="E12" s="7">
        <f>134341*2.7%</f>
        <v>3627.2070000000003</v>
      </c>
      <c r="F12" s="7">
        <f t="shared" si="1"/>
        <v>134340.99999999997</v>
      </c>
    </row>
    <row r="13" spans="1:8" x14ac:dyDescent="0.35">
      <c r="A13" s="76">
        <v>45961</v>
      </c>
      <c r="B13" s="7">
        <f>128289*23.7%</f>
        <v>30404.492999999999</v>
      </c>
      <c r="C13" s="7">
        <f>128289*44%</f>
        <v>56447.16</v>
      </c>
      <c r="D13" s="7">
        <f>128289*30%</f>
        <v>38486.699999999997</v>
      </c>
      <c r="E13" s="7">
        <f>128289*2.3%</f>
        <v>2950.6469999999999</v>
      </c>
      <c r="F13" s="7">
        <f t="shared" si="1"/>
        <v>128289</v>
      </c>
    </row>
    <row r="14" spans="1:8" x14ac:dyDescent="0.35">
      <c r="A14" s="76"/>
      <c r="H14" s="76"/>
    </row>
    <row r="16" spans="1:8" s="84" customFormat="1" ht="19" thickBot="1" x14ac:dyDescent="0.5">
      <c r="A16" s="85" t="s">
        <v>213</v>
      </c>
    </row>
    <row r="18" spans="1:6" x14ac:dyDescent="0.35">
      <c r="B18" s="86" t="s">
        <v>203</v>
      </c>
      <c r="C18" s="86" t="s">
        <v>205</v>
      </c>
      <c r="D18" s="86" t="s">
        <v>204</v>
      </c>
      <c r="E18" s="86" t="s">
        <v>218</v>
      </c>
      <c r="F18" s="86" t="s">
        <v>217</v>
      </c>
    </row>
    <row r="19" spans="1:6" x14ac:dyDescent="0.35">
      <c r="A19" s="76">
        <v>43465</v>
      </c>
      <c r="B19">
        <v>1032</v>
      </c>
      <c r="C19">
        <v>750</v>
      </c>
      <c r="D19">
        <v>405</v>
      </c>
      <c r="E19">
        <v>0</v>
      </c>
      <c r="F19">
        <f>SUM(B19:E19)</f>
        <v>2187</v>
      </c>
    </row>
    <row r="20" spans="1:6" x14ac:dyDescent="0.35">
      <c r="A20" s="76">
        <v>43830</v>
      </c>
      <c r="B20">
        <v>996</v>
      </c>
      <c r="C20">
        <v>1018</v>
      </c>
      <c r="D20">
        <v>1008</v>
      </c>
      <c r="E20">
        <v>12</v>
      </c>
      <c r="F20">
        <f>SUM(B20:E20)</f>
        <v>3034</v>
      </c>
    </row>
    <row r="21" spans="1:6" x14ac:dyDescent="0.35">
      <c r="A21" s="76">
        <v>44196</v>
      </c>
      <c r="B21">
        <v>913</v>
      </c>
      <c r="C21">
        <v>1427</v>
      </c>
      <c r="D21">
        <v>1719</v>
      </c>
      <c r="E21">
        <f>F21-B21-C21-D21</f>
        <v>0</v>
      </c>
      <c r="F21">
        <v>4059</v>
      </c>
    </row>
    <row r="22" spans="1:6" x14ac:dyDescent="0.35">
      <c r="A22" s="76">
        <v>44561</v>
      </c>
      <c r="B22">
        <v>970</v>
      </c>
      <c r="C22">
        <v>1992</v>
      </c>
      <c r="D22">
        <v>2106</v>
      </c>
      <c r="E22">
        <f>F22-B22-C22-D22</f>
        <v>238</v>
      </c>
      <c r="F22">
        <v>5306</v>
      </c>
    </row>
    <row r="23" spans="1:6" x14ac:dyDescent="0.35">
      <c r="A23" s="76">
        <v>44926</v>
      </c>
      <c r="B23">
        <v>1190</v>
      </c>
      <c r="C23">
        <v>2284</v>
      </c>
      <c r="D23">
        <v>1728</v>
      </c>
      <c r="E23">
        <v>564</v>
      </c>
      <c r="F23">
        <f>B23+C23+D23+E23</f>
        <v>5766</v>
      </c>
    </row>
    <row r="24" spans="1:6" x14ac:dyDescent="0.35">
      <c r="A24" s="76">
        <v>45291</v>
      </c>
      <c r="B24">
        <v>1078</v>
      </c>
      <c r="C24">
        <v>2190</v>
      </c>
      <c r="D24">
        <v>1698</v>
      </c>
      <c r="E24">
        <f>527+64+38</f>
        <v>629</v>
      </c>
      <c r="F24">
        <f>SUM(B24:E24)</f>
        <v>5595</v>
      </c>
    </row>
    <row r="25" spans="1:6" x14ac:dyDescent="0.35">
      <c r="A25" s="76">
        <v>45657</v>
      </c>
      <c r="B25">
        <v>1021</v>
      </c>
      <c r="C25">
        <v>2026</v>
      </c>
      <c r="D25">
        <v>1770</v>
      </c>
      <c r="E25">
        <f>326+62+87</f>
        <v>475</v>
      </c>
      <c r="F25">
        <f>SUM(B25:E25)</f>
        <v>5292</v>
      </c>
    </row>
    <row r="26" spans="1:6" x14ac:dyDescent="0.35">
      <c r="A26" s="76">
        <v>45961</v>
      </c>
      <c r="B26">
        <v>1012</v>
      </c>
      <c r="C26">
        <v>2017</v>
      </c>
      <c r="D26">
        <v>2370</v>
      </c>
      <c r="E26">
        <f>356+72+158</f>
        <v>586</v>
      </c>
      <c r="F26">
        <f>SUM(B26:E26)</f>
        <v>5985</v>
      </c>
    </row>
  </sheetData>
  <pageMargins left="0.7" right="0.7" top="0.75" bottom="0.75" header="0.3" footer="0.3"/>
  <pageSetup scale="5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5960-FFD8-4543-ABCA-6B9B876811A7}">
  <sheetPr>
    <pageSetUpPr fitToPage="1"/>
  </sheetPr>
  <dimension ref="A2:XFD105"/>
  <sheetViews>
    <sheetView showGridLines="0" tabSelected="1" zoomScaleNormal="100" workbookViewId="0">
      <selection activeCell="C17" sqref="C17"/>
    </sheetView>
  </sheetViews>
  <sheetFormatPr defaultRowHeight="14.5" x14ac:dyDescent="0.35"/>
  <cols>
    <col min="2" max="2" width="25.453125" bestFit="1" customWidth="1"/>
    <col min="3" max="3" width="15.7265625" customWidth="1"/>
    <col min="4" max="4" width="21.90625" bestFit="1" customWidth="1"/>
    <col min="5" max="7" width="22" bestFit="1" customWidth="1"/>
    <col min="8" max="8" width="32.90625" bestFit="1" customWidth="1"/>
    <col min="9" max="9" width="31.90625" bestFit="1" customWidth="1"/>
    <col min="10" max="10" width="22" bestFit="1" customWidth="1"/>
    <col min="11" max="15" width="21.90625" bestFit="1" customWidth="1"/>
    <col min="16" max="16" width="25.26953125" bestFit="1" customWidth="1"/>
  </cols>
  <sheetData>
    <row r="2" spans="1:16" x14ac:dyDescent="0.35">
      <c r="D2" s="1">
        <v>2018</v>
      </c>
      <c r="E2" s="1">
        <f>D2+1</f>
        <v>2019</v>
      </c>
      <c r="F2" s="1">
        <f t="shared" ref="F2:P2" si="0">E2+1</f>
        <v>2020</v>
      </c>
      <c r="G2" s="1">
        <f t="shared" si="0"/>
        <v>2021</v>
      </c>
      <c r="H2" s="1">
        <f t="shared" si="0"/>
        <v>2022</v>
      </c>
      <c r="I2" s="1">
        <f t="shared" si="0"/>
        <v>2023</v>
      </c>
      <c r="J2" s="1">
        <f t="shared" si="0"/>
        <v>2024</v>
      </c>
      <c r="K2" s="2">
        <f t="shared" si="0"/>
        <v>2025</v>
      </c>
      <c r="L2" s="2">
        <f t="shared" si="0"/>
        <v>2026</v>
      </c>
      <c r="M2" s="2">
        <f t="shared" si="0"/>
        <v>2027</v>
      </c>
      <c r="N2" s="2">
        <f t="shared" si="0"/>
        <v>2028</v>
      </c>
      <c r="O2" s="2">
        <f t="shared" si="0"/>
        <v>2029</v>
      </c>
      <c r="P2" s="2">
        <f t="shared" si="0"/>
        <v>2030</v>
      </c>
    </row>
    <row r="3" spans="1:16" ht="17" customHeight="1" thickBot="1" x14ac:dyDescent="0.55000000000000004">
      <c r="B3" s="8" t="s">
        <v>38</v>
      </c>
    </row>
    <row r="5" spans="1:16" s="133" customFormat="1" x14ac:dyDescent="0.35">
      <c r="A5"/>
      <c r="B5" s="133" t="s">
        <v>39</v>
      </c>
    </row>
    <row r="6" spans="1:16" x14ac:dyDescent="0.35">
      <c r="B6" s="3" t="s">
        <v>40</v>
      </c>
      <c r="C6" s="42" t="s">
        <v>37</v>
      </c>
    </row>
    <row r="7" spans="1:16" x14ac:dyDescent="0.35">
      <c r="B7" s="3" t="s">
        <v>41</v>
      </c>
      <c r="C7" s="4">
        <f ca="1">TODAY()</f>
        <v>45983</v>
      </c>
    </row>
    <row r="8" spans="1:16" x14ac:dyDescent="0.35">
      <c r="B8" s="3" t="s">
        <v>219</v>
      </c>
      <c r="C8" s="4">
        <v>46022</v>
      </c>
    </row>
    <row r="9" spans="1:16" x14ac:dyDescent="0.35">
      <c r="B9" s="3" t="s">
        <v>42</v>
      </c>
      <c r="C9" s="40">
        <v>80000</v>
      </c>
      <c r="G9" s="15"/>
    </row>
    <row r="10" spans="1:16" x14ac:dyDescent="0.35">
      <c r="B10" s="3" t="s">
        <v>43</v>
      </c>
      <c r="C10" s="39">
        <f>P89</f>
        <v>91098.756568828903</v>
      </c>
    </row>
    <row r="11" spans="1:16" x14ac:dyDescent="0.35">
      <c r="B11" s="3" t="s">
        <v>202</v>
      </c>
      <c r="C11" s="73">
        <f>C10/C9 -1</f>
        <v>0.13873445711036125</v>
      </c>
    </row>
    <row r="12" spans="1:16" x14ac:dyDescent="0.35">
      <c r="B12" s="3" t="s">
        <v>169</v>
      </c>
      <c r="C12" s="41" t="str">
        <f>IF(C11&gt;0, "Undervalued", "Overvalued")</f>
        <v>Undervalued</v>
      </c>
    </row>
    <row r="14" spans="1:16" s="133" customFormat="1" x14ac:dyDescent="0.35">
      <c r="A14"/>
      <c r="B14" s="133" t="s">
        <v>44</v>
      </c>
    </row>
    <row r="16" spans="1:16" x14ac:dyDescent="0.35">
      <c r="B16" s="20" t="s">
        <v>133</v>
      </c>
      <c r="C16" s="21"/>
      <c r="E16" s="20" t="s">
        <v>138</v>
      </c>
      <c r="F16" s="22"/>
      <c r="H16" s="20" t="s">
        <v>139</v>
      </c>
      <c r="I16" s="21"/>
      <c r="K16" s="20" t="s">
        <v>140</v>
      </c>
      <c r="L16" s="21"/>
    </row>
    <row r="17" spans="1:16384" x14ac:dyDescent="0.35">
      <c r="B17" t="s">
        <v>134</v>
      </c>
      <c r="C17">
        <v>2</v>
      </c>
      <c r="E17" t="s">
        <v>129</v>
      </c>
      <c r="F17" s="10">
        <v>0.9</v>
      </c>
      <c r="I17" s="10"/>
      <c r="K17" t="s">
        <v>130</v>
      </c>
      <c r="L17" s="10">
        <v>1.05</v>
      </c>
    </row>
    <row r="18" spans="1:16384" x14ac:dyDescent="0.35">
      <c r="B18" t="s">
        <v>131</v>
      </c>
      <c r="C18" s="35">
        <f>CHOOSE($C$17,F18,I18,L18)</f>
        <v>0.10620793950714297</v>
      </c>
      <c r="E18" t="s">
        <v>131</v>
      </c>
      <c r="F18" s="35">
        <f>I18+0.5%</f>
        <v>0.11120793950714297</v>
      </c>
      <c r="H18" t="s">
        <v>131</v>
      </c>
      <c r="I18" s="27">
        <f>WACC!C25</f>
        <v>0.10620793950714297</v>
      </c>
      <c r="K18" t="s">
        <v>131</v>
      </c>
      <c r="L18" s="35">
        <f>I18-0.3%</f>
        <v>0.10320793950714297</v>
      </c>
    </row>
    <row r="19" spans="1:16384" x14ac:dyDescent="0.35">
      <c r="B19" t="s">
        <v>132</v>
      </c>
      <c r="C19" s="35">
        <f>CHOOSE($C$17,F19,I19,L19)</f>
        <v>6.8000000000000005E-2</v>
      </c>
      <c r="E19" t="s">
        <v>132</v>
      </c>
      <c r="F19" s="35">
        <f>I19-0.5%</f>
        <v>6.3E-2</v>
      </c>
      <c r="H19" t="s">
        <v>132</v>
      </c>
      <c r="I19" s="27">
        <v>6.8000000000000005E-2</v>
      </c>
      <c r="K19" t="s">
        <v>132</v>
      </c>
      <c r="L19" s="35">
        <f>I19+0.3%</f>
        <v>7.1000000000000008E-2</v>
      </c>
    </row>
    <row r="21" spans="1:16384" s="133" customFormat="1" x14ac:dyDescent="0.35">
      <c r="A21"/>
      <c r="B21" s="133" t="s">
        <v>211</v>
      </c>
    </row>
    <row r="22" spans="1:16384" s="75" customFormat="1" x14ac:dyDescent="0.35">
      <c r="A22"/>
      <c r="B22" s="75" t="s">
        <v>207</v>
      </c>
      <c r="D22" s="92">
        <v>34606.400000000001</v>
      </c>
      <c r="E22" s="92">
        <v>33206.550000000003</v>
      </c>
      <c r="F22" s="92">
        <v>29524.512000000002</v>
      </c>
      <c r="G22" s="92">
        <v>31507.686000000002</v>
      </c>
      <c r="H22" s="92">
        <v>34685.300000000003</v>
      </c>
      <c r="I22" s="92">
        <v>28268.92</v>
      </c>
      <c r="J22" s="92">
        <v>30092.383999999998</v>
      </c>
      <c r="K22" s="81">
        <f>J22*(1+K23:P23)</f>
        <v>29571.809340540181</v>
      </c>
      <c r="L22" s="81">
        <f t="shared" ref="L22:P22" si="1">K22*(1+L23:Q23)</f>
        <v>29174.344982946193</v>
      </c>
      <c r="M22" s="81">
        <f t="shared" si="1"/>
        <v>29256.025022358623</v>
      </c>
      <c r="N22" s="81">
        <f t="shared" si="1"/>
        <v>29024.061927294944</v>
      </c>
      <c r="O22" s="81">
        <f t="shared" si="1"/>
        <v>28267.72810468603</v>
      </c>
      <c r="P22" s="81">
        <f t="shared" si="1"/>
        <v>28279.866587501143</v>
      </c>
    </row>
    <row r="23" spans="1:16384" s="75" customFormat="1" x14ac:dyDescent="0.35">
      <c r="A23"/>
      <c r="B23" s="79" t="s">
        <v>212</v>
      </c>
      <c r="D23" s="78"/>
      <c r="E23" s="80">
        <f>E22/D22-1</f>
        <v>-4.045061029173791E-2</v>
      </c>
      <c r="F23" s="80">
        <f t="shared" ref="F23:J23" si="2">F22/E22-1</f>
        <v>-0.11088288304566418</v>
      </c>
      <c r="G23" s="80">
        <f t="shared" si="2"/>
        <v>6.7170424357902991E-2</v>
      </c>
      <c r="H23" s="80">
        <f t="shared" si="2"/>
        <v>0.10085202702604068</v>
      </c>
      <c r="I23" s="80">
        <f t="shared" si="2"/>
        <v>-0.18498845332172431</v>
      </c>
      <c r="J23" s="80">
        <f t="shared" si="2"/>
        <v>6.4504197542742947E-2</v>
      </c>
      <c r="K23" s="83">
        <f>AVERAGE(E23:J23)</f>
        <v>-1.7299216288739965E-2</v>
      </c>
      <c r="L23" s="83">
        <f t="shared" ref="L23:O23" si="3">AVERAGE(F23:K23)</f>
        <v>-1.344065062157364E-2</v>
      </c>
      <c r="M23" s="83">
        <f t="shared" si="3"/>
        <v>2.7997214491081168E-3</v>
      </c>
      <c r="N23" s="83">
        <f t="shared" si="3"/>
        <v>-7.9287290356910289E-3</v>
      </c>
      <c r="O23" s="83">
        <f t="shared" si="3"/>
        <v>-2.6058855045979646E-2</v>
      </c>
      <c r="P23" s="83">
        <f>AVERAGE(J23:O23)</f>
        <v>4.2941133331113036E-4</v>
      </c>
    </row>
    <row r="24" spans="1:16384" s="75" customFormat="1" x14ac:dyDescent="0.35">
      <c r="A24"/>
      <c r="B24" s="75" t="s">
        <v>208</v>
      </c>
      <c r="D24" s="92">
        <v>47583.8</v>
      </c>
      <c r="E24" s="92">
        <v>58239.179999999993</v>
      </c>
      <c r="F24" s="92">
        <v>57746.472000000002</v>
      </c>
      <c r="G24" s="92">
        <v>62524.98</v>
      </c>
      <c r="H24" s="92">
        <v>68970.384999999995</v>
      </c>
      <c r="I24" s="92">
        <v>55236.76</v>
      </c>
      <c r="J24" s="92">
        <v>59513.062999999995</v>
      </c>
      <c r="K24" s="91">
        <f>J24*(1+K25)</f>
        <v>62286.350997770707</v>
      </c>
      <c r="L24" s="91">
        <f t="shared" ref="L24:P24" si="4">K24*(1+L25)</f>
        <v>63348.009691400599</v>
      </c>
      <c r="M24" s="91">
        <f t="shared" si="4"/>
        <v>64697.044742882157</v>
      </c>
      <c r="N24" s="91">
        <f t="shared" si="4"/>
        <v>65412.157864327084</v>
      </c>
      <c r="O24" s="91">
        <f t="shared" si="4"/>
        <v>65131.839801520568</v>
      </c>
      <c r="P24" s="91">
        <f t="shared" si="4"/>
        <v>66967.750288947616</v>
      </c>
    </row>
    <row r="25" spans="1:16384" s="75" customFormat="1" x14ac:dyDescent="0.35">
      <c r="A25"/>
      <c r="B25" s="79" t="s">
        <v>212</v>
      </c>
      <c r="D25" s="78"/>
      <c r="E25" s="80">
        <f>E24/D24-1</f>
        <v>0.22392873204746122</v>
      </c>
      <c r="F25" s="80">
        <f t="shared" ref="F25:J25" si="5">F24/E24-1</f>
        <v>-8.4600779063165321E-3</v>
      </c>
      <c r="G25" s="80">
        <f t="shared" si="5"/>
        <v>8.2749782532169247E-2</v>
      </c>
      <c r="H25" s="80">
        <f t="shared" si="5"/>
        <v>0.10308527887573882</v>
      </c>
      <c r="I25" s="80">
        <f t="shared" si="5"/>
        <v>-0.19912350786500599</v>
      </c>
      <c r="J25" s="80">
        <f t="shared" si="5"/>
        <v>7.741770154513028E-2</v>
      </c>
      <c r="K25" s="83">
        <f>AVERAGE(E25:J25)</f>
        <v>4.6599651538196174E-2</v>
      </c>
      <c r="L25" s="83">
        <f t="shared" ref="L25:O25" si="6">AVERAGE(F25:K25)</f>
        <v>1.7044804786652001E-2</v>
      </c>
      <c r="M25" s="83">
        <f t="shared" si="6"/>
        <v>2.1295618568813419E-2</v>
      </c>
      <c r="N25" s="83">
        <f t="shared" si="6"/>
        <v>1.1053257908254116E-2</v>
      </c>
      <c r="O25" s="83">
        <f t="shared" si="6"/>
        <v>-4.2854122529933335E-3</v>
      </c>
      <c r="P25" s="83">
        <f>AVERAGE(J25:O25)</f>
        <v>2.8187603682342108E-2</v>
      </c>
    </row>
    <row r="26" spans="1:16384" s="75" customFormat="1" x14ac:dyDescent="0.35">
      <c r="A26"/>
      <c r="B26" s="75" t="s">
        <v>209</v>
      </c>
      <c r="D26" s="92">
        <v>4325.8</v>
      </c>
      <c r="E26" s="92">
        <v>10728.27</v>
      </c>
      <c r="F26" s="92">
        <v>21275.016</v>
      </c>
      <c r="G26" s="92">
        <v>28074.941999999999</v>
      </c>
      <c r="H26" s="92">
        <v>30683.15</v>
      </c>
      <c r="I26" s="92">
        <v>31580.760000000002</v>
      </c>
      <c r="J26" s="92">
        <v>41108.345999999998</v>
      </c>
      <c r="K26" s="82">
        <f>J26*(1+K27)</f>
        <v>63078.095767583698</v>
      </c>
      <c r="L26" s="82">
        <f>K26*(1+L27)</f>
        <v>86847.822339017366</v>
      </c>
      <c r="M26" s="82">
        <f t="shared" ref="M26:P26" si="7">L26*(1+M27)</f>
        <v>110799.45320898893</v>
      </c>
      <c r="N26" s="82">
        <f t="shared" si="7"/>
        <v>140547.24615538592</v>
      </c>
      <c r="O26" s="82">
        <f t="shared" si="7"/>
        <v>182394.73990102357</v>
      </c>
      <c r="P26" s="82">
        <f t="shared" si="7"/>
        <v>244864.13214233663</v>
      </c>
    </row>
    <row r="27" spans="1:16384" s="75" customFormat="1" x14ac:dyDescent="0.35">
      <c r="A27"/>
      <c r="B27" s="79" t="s">
        <v>212</v>
      </c>
      <c r="D27" s="78"/>
      <c r="E27" s="80">
        <f>E26/D26-1</f>
        <v>1.4800661149382774</v>
      </c>
      <c r="F27" s="80">
        <f t="shared" ref="F27:J27" si="8">F26/E26-1</f>
        <v>0.98307984418736649</v>
      </c>
      <c r="G27" s="80">
        <f t="shared" si="8"/>
        <v>0.31962025316455689</v>
      </c>
      <c r="H27" s="80">
        <f t="shared" si="8"/>
        <v>9.2901634489574558E-2</v>
      </c>
      <c r="I27" s="80">
        <f t="shared" si="8"/>
        <v>2.9254167189483482E-2</v>
      </c>
      <c r="J27" s="80">
        <f t="shared" si="8"/>
        <v>0.30168957301850852</v>
      </c>
      <c r="K27" s="83">
        <f>AVERAGE(E27:J27)</f>
        <v>0.53443526449796119</v>
      </c>
      <c r="L27" s="83">
        <f>AVERAGE(F27:K27)</f>
        <v>0.3768301227579085</v>
      </c>
      <c r="M27" s="83">
        <f t="shared" ref="M27:O27" si="9">AVERAGE(G27:L27)</f>
        <v>0.27578850251966552</v>
      </c>
      <c r="N27" s="83">
        <f t="shared" si="9"/>
        <v>0.26848321074551695</v>
      </c>
      <c r="O27" s="83">
        <f t="shared" si="9"/>
        <v>0.29774680678817406</v>
      </c>
      <c r="P27" s="83">
        <f>AVERAGE(J27:O27)</f>
        <v>0.34249558005462249</v>
      </c>
    </row>
    <row r="28" spans="1:16384" s="75" customFormat="1" x14ac:dyDescent="0.35">
      <c r="A28"/>
    </row>
    <row r="29" spans="1:16384" s="135" customFormat="1" x14ac:dyDescent="0.35">
      <c r="A29"/>
      <c r="B29" s="133" t="s">
        <v>45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  <c r="ED29" s="133"/>
      <c r="EE29" s="133"/>
      <c r="EF29" s="133"/>
      <c r="EG29" s="133"/>
      <c r="EH29" s="133"/>
      <c r="EI29" s="133"/>
      <c r="EJ29" s="133"/>
      <c r="EK29" s="133"/>
      <c r="EL29" s="133"/>
      <c r="EM29" s="133"/>
      <c r="EN29" s="133"/>
      <c r="EO29" s="133"/>
      <c r="EP29" s="133"/>
      <c r="EQ29" s="133"/>
      <c r="ER29" s="133"/>
      <c r="ES29" s="133"/>
      <c r="ET29" s="133"/>
      <c r="EU29" s="133"/>
      <c r="EV29" s="133"/>
      <c r="EW29" s="133"/>
      <c r="EX29" s="133"/>
      <c r="EY29" s="133"/>
      <c r="EZ29" s="133"/>
      <c r="FA29" s="133"/>
      <c r="FB29" s="133"/>
      <c r="FC29" s="133"/>
      <c r="FD29" s="133"/>
      <c r="FE29" s="133"/>
      <c r="FF29" s="133"/>
      <c r="FG29" s="133"/>
      <c r="FH29" s="133"/>
      <c r="FI29" s="133"/>
      <c r="FJ29" s="133"/>
      <c r="FK29" s="133"/>
      <c r="FL29" s="133"/>
      <c r="FM29" s="133"/>
      <c r="FN29" s="133"/>
      <c r="FO29" s="133"/>
      <c r="FP29" s="133"/>
      <c r="FQ29" s="133"/>
      <c r="FR29" s="133"/>
      <c r="FS29" s="133"/>
      <c r="FT29" s="133"/>
      <c r="FU29" s="133"/>
      <c r="FV29" s="133"/>
      <c r="FW29" s="133"/>
      <c r="FX29" s="133"/>
      <c r="FY29" s="133"/>
      <c r="FZ29" s="133"/>
      <c r="GA29" s="133"/>
      <c r="GB29" s="133"/>
      <c r="GC29" s="133"/>
      <c r="GD29" s="133"/>
      <c r="GE29" s="133"/>
      <c r="GF29" s="133"/>
      <c r="GG29" s="133"/>
      <c r="GH29" s="133"/>
      <c r="GI29" s="133"/>
      <c r="GJ29" s="133"/>
      <c r="GK29" s="133"/>
      <c r="GL29" s="133"/>
      <c r="GM29" s="133"/>
      <c r="GN29" s="133"/>
      <c r="GO29" s="133"/>
      <c r="GP29" s="133"/>
      <c r="GQ29" s="133"/>
      <c r="GR29" s="133"/>
      <c r="GS29" s="133"/>
      <c r="GT29" s="133"/>
      <c r="GU29" s="133"/>
      <c r="GV29" s="133"/>
      <c r="GW29" s="133"/>
      <c r="GX29" s="133"/>
      <c r="GY29" s="133"/>
      <c r="GZ29" s="133"/>
      <c r="HA29" s="133"/>
      <c r="HB29" s="133"/>
      <c r="HC29" s="133"/>
      <c r="HD29" s="133"/>
      <c r="HE29" s="133"/>
      <c r="HF29" s="133"/>
      <c r="HG29" s="133"/>
      <c r="HH29" s="133"/>
      <c r="HI29" s="133"/>
      <c r="HJ29" s="133"/>
      <c r="HK29" s="133"/>
      <c r="HL29" s="133"/>
      <c r="HM29" s="133"/>
      <c r="HN29" s="133"/>
      <c r="HO29" s="133"/>
      <c r="HP29" s="133"/>
      <c r="HQ29" s="133"/>
      <c r="HR29" s="133"/>
      <c r="HS29" s="133"/>
      <c r="HT29" s="133"/>
      <c r="HU29" s="133"/>
      <c r="HV29" s="133"/>
      <c r="HW29" s="133"/>
      <c r="HX29" s="133"/>
      <c r="HY29" s="133"/>
      <c r="HZ29" s="133"/>
      <c r="IA29" s="133"/>
      <c r="IB29" s="133"/>
      <c r="IC29" s="133"/>
      <c r="ID29" s="133"/>
      <c r="IE29" s="133"/>
      <c r="IF29" s="133"/>
      <c r="IG29" s="133"/>
      <c r="IH29" s="133"/>
      <c r="II29" s="133"/>
      <c r="IJ29" s="133"/>
      <c r="IK29" s="133"/>
      <c r="IL29" s="133"/>
      <c r="IM29" s="133"/>
      <c r="IN29" s="133"/>
      <c r="IO29" s="133"/>
      <c r="IP29" s="133"/>
      <c r="IQ29" s="133"/>
      <c r="IR29" s="133"/>
      <c r="IS29" s="133"/>
      <c r="IT29" s="133"/>
      <c r="IU29" s="133"/>
      <c r="IV29" s="133"/>
      <c r="IW29" s="133"/>
      <c r="IX29" s="133"/>
      <c r="IY29" s="133"/>
      <c r="IZ29" s="133"/>
      <c r="JA29" s="133"/>
      <c r="JB29" s="133"/>
      <c r="JC29" s="133"/>
      <c r="JD29" s="133"/>
      <c r="JE29" s="133"/>
      <c r="JF29" s="133"/>
      <c r="JG29" s="133"/>
      <c r="JH29" s="133"/>
      <c r="JI29" s="133"/>
      <c r="JJ29" s="133"/>
      <c r="JK29" s="133"/>
      <c r="JL29" s="133"/>
      <c r="JM29" s="133"/>
      <c r="JN29" s="133"/>
      <c r="JO29" s="133"/>
      <c r="JP29" s="133"/>
      <c r="JQ29" s="133"/>
      <c r="JR29" s="133"/>
      <c r="JS29" s="133"/>
      <c r="JT29" s="133"/>
      <c r="JU29" s="133"/>
      <c r="JV29" s="133"/>
      <c r="JW29" s="133"/>
      <c r="JX29" s="133"/>
      <c r="JY29" s="133"/>
      <c r="JZ29" s="133"/>
      <c r="KA29" s="133"/>
      <c r="KB29" s="133"/>
      <c r="KC29" s="133"/>
      <c r="KD29" s="133"/>
      <c r="KE29" s="133"/>
      <c r="KF29" s="133"/>
      <c r="KG29" s="133"/>
      <c r="KH29" s="133"/>
      <c r="KI29" s="133"/>
      <c r="KJ29" s="133"/>
      <c r="KK29" s="133"/>
      <c r="KL29" s="133"/>
      <c r="KM29" s="133"/>
      <c r="KN29" s="133"/>
      <c r="KO29" s="133"/>
      <c r="KP29" s="133"/>
      <c r="KQ29" s="133"/>
      <c r="KR29" s="133"/>
      <c r="KS29" s="133"/>
      <c r="KT29" s="133"/>
      <c r="KU29" s="133"/>
      <c r="KV29" s="133"/>
      <c r="KW29" s="133"/>
      <c r="KX29" s="133"/>
      <c r="KY29" s="133"/>
      <c r="KZ29" s="133"/>
      <c r="LA29" s="133"/>
      <c r="LB29" s="133"/>
      <c r="LC29" s="133"/>
      <c r="LD29" s="133"/>
      <c r="LE29" s="133"/>
      <c r="LF29" s="133"/>
      <c r="LG29" s="133"/>
      <c r="LH29" s="133"/>
      <c r="LI29" s="133"/>
      <c r="LJ29" s="133"/>
      <c r="LK29" s="133"/>
      <c r="LL29" s="133"/>
      <c r="LM29" s="133"/>
      <c r="LN29" s="133"/>
      <c r="LO29" s="133"/>
      <c r="LP29" s="133"/>
      <c r="LQ29" s="133"/>
      <c r="LR29" s="133"/>
      <c r="LS29" s="133"/>
      <c r="LT29" s="133"/>
      <c r="LU29" s="133"/>
      <c r="LV29" s="133"/>
      <c r="LW29" s="133"/>
      <c r="LX29" s="133"/>
      <c r="LY29" s="133"/>
      <c r="LZ29" s="133"/>
      <c r="MA29" s="133"/>
      <c r="MB29" s="133"/>
      <c r="MC29" s="133"/>
      <c r="MD29" s="133"/>
      <c r="ME29" s="133"/>
      <c r="MF29" s="133"/>
      <c r="MG29" s="133"/>
      <c r="MH29" s="133"/>
      <c r="MI29" s="133"/>
      <c r="MJ29" s="133"/>
      <c r="MK29" s="133"/>
      <c r="ML29" s="133"/>
      <c r="MM29" s="133"/>
      <c r="MN29" s="133"/>
      <c r="MO29" s="133"/>
      <c r="MP29" s="133"/>
      <c r="MQ29" s="133"/>
      <c r="MR29" s="133"/>
      <c r="MS29" s="133"/>
      <c r="MT29" s="133"/>
      <c r="MU29" s="133"/>
      <c r="MV29" s="133"/>
      <c r="MW29" s="133"/>
      <c r="MX29" s="133"/>
      <c r="MY29" s="133"/>
      <c r="MZ29" s="133"/>
      <c r="NA29" s="133"/>
      <c r="NB29" s="133"/>
      <c r="NC29" s="133"/>
      <c r="ND29" s="133"/>
      <c r="NE29" s="133"/>
      <c r="NF29" s="133"/>
      <c r="NG29" s="133"/>
      <c r="NH29" s="133"/>
      <c r="NI29" s="133"/>
      <c r="NJ29" s="133"/>
      <c r="NK29" s="133"/>
      <c r="NL29" s="133"/>
      <c r="NM29" s="133"/>
      <c r="NN29" s="133"/>
      <c r="NO29" s="133"/>
      <c r="NP29" s="133"/>
      <c r="NQ29" s="133"/>
      <c r="NR29" s="133"/>
      <c r="NS29" s="133"/>
      <c r="NT29" s="133"/>
      <c r="NU29" s="133"/>
      <c r="NV29" s="133"/>
      <c r="NW29" s="133"/>
      <c r="NX29" s="133"/>
      <c r="NY29" s="133"/>
      <c r="NZ29" s="133"/>
      <c r="OA29" s="133"/>
      <c r="OB29" s="133"/>
      <c r="OC29" s="133"/>
      <c r="OD29" s="133"/>
      <c r="OE29" s="133"/>
      <c r="OF29" s="133"/>
      <c r="OG29" s="133"/>
      <c r="OH29" s="133"/>
      <c r="OI29" s="133"/>
      <c r="OJ29" s="133"/>
      <c r="OK29" s="133"/>
      <c r="OL29" s="133"/>
      <c r="OM29" s="133"/>
      <c r="ON29" s="133"/>
      <c r="OO29" s="133"/>
      <c r="OP29" s="133"/>
      <c r="OQ29" s="133"/>
      <c r="OR29" s="133"/>
      <c r="OS29" s="133"/>
      <c r="OT29" s="133"/>
      <c r="OU29" s="133"/>
      <c r="OV29" s="133"/>
      <c r="OW29" s="133"/>
      <c r="OX29" s="133"/>
      <c r="OY29" s="133"/>
      <c r="OZ29" s="133"/>
      <c r="PA29" s="133"/>
      <c r="PB29" s="133"/>
      <c r="PC29" s="133"/>
      <c r="PD29" s="133"/>
      <c r="PE29" s="133"/>
      <c r="PF29" s="133"/>
      <c r="PG29" s="133"/>
      <c r="PH29" s="133"/>
      <c r="PI29" s="133"/>
      <c r="PJ29" s="133"/>
      <c r="PK29" s="133"/>
      <c r="PL29" s="133"/>
      <c r="PM29" s="133"/>
      <c r="PN29" s="133"/>
      <c r="PO29" s="133"/>
      <c r="PP29" s="133"/>
      <c r="PQ29" s="133"/>
      <c r="PR29" s="133"/>
      <c r="PS29" s="133"/>
      <c r="PT29" s="133"/>
      <c r="PU29" s="133"/>
      <c r="PV29" s="133"/>
      <c r="PW29" s="133"/>
      <c r="PX29" s="133"/>
      <c r="PY29" s="133"/>
      <c r="PZ29" s="133"/>
      <c r="QA29" s="133"/>
      <c r="QB29" s="133"/>
      <c r="QC29" s="133"/>
      <c r="QD29" s="133"/>
      <c r="QE29" s="133"/>
      <c r="QF29" s="133"/>
      <c r="QG29" s="133"/>
      <c r="QH29" s="133"/>
      <c r="QI29" s="133"/>
      <c r="QJ29" s="133"/>
      <c r="QK29" s="133"/>
      <c r="QL29" s="133"/>
      <c r="QM29" s="133"/>
      <c r="QN29" s="133"/>
      <c r="QO29" s="133"/>
      <c r="QP29" s="133"/>
      <c r="QQ29" s="133"/>
      <c r="QR29" s="133"/>
      <c r="QS29" s="133"/>
      <c r="QT29" s="133"/>
      <c r="QU29" s="133"/>
      <c r="QV29" s="133"/>
      <c r="QW29" s="133"/>
      <c r="QX29" s="133"/>
      <c r="QY29" s="133"/>
      <c r="QZ29" s="133"/>
      <c r="RA29" s="133"/>
      <c r="RB29" s="133"/>
      <c r="RC29" s="133"/>
      <c r="RD29" s="133"/>
      <c r="RE29" s="133"/>
      <c r="RF29" s="133"/>
      <c r="RG29" s="133"/>
      <c r="RH29" s="133"/>
      <c r="RI29" s="133"/>
      <c r="RJ29" s="133"/>
      <c r="RK29" s="133"/>
      <c r="RL29" s="133"/>
      <c r="RM29" s="133"/>
      <c r="RN29" s="133"/>
      <c r="RO29" s="133"/>
      <c r="RP29" s="133"/>
      <c r="RQ29" s="133"/>
      <c r="RR29" s="133"/>
      <c r="RS29" s="133"/>
      <c r="RT29" s="133"/>
      <c r="RU29" s="133"/>
      <c r="RV29" s="133"/>
      <c r="RW29" s="133"/>
      <c r="RX29" s="133"/>
      <c r="RY29" s="133"/>
      <c r="RZ29" s="133"/>
      <c r="SA29" s="133"/>
      <c r="SB29" s="133"/>
      <c r="SC29" s="133"/>
      <c r="SD29" s="133"/>
      <c r="SE29" s="133"/>
      <c r="SF29" s="133"/>
      <c r="SG29" s="133"/>
      <c r="SH29" s="133"/>
      <c r="SI29" s="133"/>
      <c r="SJ29" s="133"/>
      <c r="SK29" s="133"/>
      <c r="SL29" s="133"/>
      <c r="SM29" s="133"/>
      <c r="SN29" s="133"/>
      <c r="SO29" s="133"/>
      <c r="SP29" s="133"/>
      <c r="SQ29" s="133"/>
      <c r="SR29" s="133"/>
      <c r="SS29" s="133"/>
      <c r="ST29" s="133"/>
      <c r="SU29" s="133"/>
      <c r="SV29" s="133"/>
      <c r="SW29" s="133"/>
      <c r="SX29" s="133"/>
      <c r="SY29" s="133"/>
      <c r="SZ29" s="133"/>
      <c r="TA29" s="133"/>
      <c r="TB29" s="133"/>
      <c r="TC29" s="133"/>
      <c r="TD29" s="133"/>
      <c r="TE29" s="133"/>
      <c r="TF29" s="133"/>
      <c r="TG29" s="133"/>
      <c r="TH29" s="133"/>
      <c r="TI29" s="133"/>
      <c r="TJ29" s="133"/>
      <c r="TK29" s="133"/>
      <c r="TL29" s="133"/>
      <c r="TM29" s="133"/>
      <c r="TN29" s="133"/>
      <c r="TO29" s="133"/>
      <c r="TP29" s="133"/>
      <c r="TQ29" s="133"/>
      <c r="TR29" s="133"/>
      <c r="TS29" s="133"/>
      <c r="TT29" s="133"/>
      <c r="TU29" s="133"/>
      <c r="TV29" s="133"/>
      <c r="TW29" s="133"/>
      <c r="TX29" s="133"/>
      <c r="TY29" s="133"/>
      <c r="TZ29" s="133"/>
      <c r="UA29" s="133"/>
      <c r="UB29" s="133"/>
      <c r="UC29" s="133"/>
      <c r="UD29" s="133"/>
      <c r="UE29" s="133"/>
      <c r="UF29" s="133"/>
      <c r="UG29" s="133"/>
      <c r="UH29" s="133"/>
      <c r="UI29" s="133"/>
      <c r="UJ29" s="133"/>
      <c r="UK29" s="133"/>
      <c r="UL29" s="133"/>
      <c r="UM29" s="133"/>
      <c r="UN29" s="133"/>
      <c r="UO29" s="133"/>
      <c r="UP29" s="133"/>
      <c r="UQ29" s="133"/>
      <c r="UR29" s="133"/>
      <c r="US29" s="133"/>
      <c r="UT29" s="133"/>
      <c r="UU29" s="133"/>
      <c r="UV29" s="133"/>
      <c r="UW29" s="133"/>
      <c r="UX29" s="133"/>
      <c r="UY29" s="133"/>
      <c r="UZ29" s="133"/>
      <c r="VA29" s="133"/>
      <c r="VB29" s="133"/>
      <c r="VC29" s="133"/>
      <c r="VD29" s="133"/>
      <c r="VE29" s="133"/>
      <c r="VF29" s="133"/>
      <c r="VG29" s="133"/>
      <c r="VH29" s="133"/>
      <c r="VI29" s="133"/>
      <c r="VJ29" s="133"/>
      <c r="VK29" s="133"/>
      <c r="VL29" s="133"/>
      <c r="VM29" s="133"/>
      <c r="VN29" s="133"/>
      <c r="VO29" s="133"/>
      <c r="VP29" s="133"/>
      <c r="VQ29" s="133"/>
      <c r="VR29" s="133"/>
      <c r="VS29" s="133"/>
      <c r="VT29" s="133"/>
      <c r="VU29" s="133"/>
      <c r="VV29" s="133"/>
      <c r="VW29" s="133"/>
      <c r="VX29" s="133"/>
      <c r="VY29" s="133"/>
      <c r="VZ29" s="133"/>
      <c r="WA29" s="133"/>
      <c r="WB29" s="133"/>
      <c r="WC29" s="133"/>
      <c r="WD29" s="133"/>
      <c r="WE29" s="133"/>
      <c r="WF29" s="133"/>
      <c r="WG29" s="133"/>
      <c r="WH29" s="133"/>
      <c r="WI29" s="133"/>
      <c r="WJ29" s="133"/>
      <c r="WK29" s="133"/>
      <c r="WL29" s="133"/>
      <c r="WM29" s="133"/>
      <c r="WN29" s="133"/>
      <c r="WO29" s="133"/>
      <c r="WP29" s="133"/>
      <c r="WQ29" s="133"/>
      <c r="WR29" s="133"/>
      <c r="WS29" s="133"/>
      <c r="WT29" s="133"/>
      <c r="WU29" s="133"/>
      <c r="WV29" s="133"/>
      <c r="WW29" s="133"/>
      <c r="WX29" s="133"/>
      <c r="WY29" s="133"/>
      <c r="WZ29" s="133"/>
      <c r="XA29" s="133"/>
      <c r="XB29" s="133"/>
      <c r="XC29" s="133"/>
      <c r="XD29" s="133"/>
      <c r="XE29" s="133"/>
      <c r="XF29" s="133"/>
      <c r="XG29" s="133"/>
      <c r="XH29" s="133"/>
      <c r="XI29" s="133"/>
      <c r="XJ29" s="133"/>
      <c r="XK29" s="133"/>
      <c r="XL29" s="133"/>
      <c r="XM29" s="133"/>
      <c r="XN29" s="133"/>
      <c r="XO29" s="133"/>
      <c r="XP29" s="133"/>
      <c r="XQ29" s="133"/>
      <c r="XR29" s="133"/>
      <c r="XS29" s="133"/>
      <c r="XT29" s="133"/>
      <c r="XU29" s="133"/>
      <c r="XV29" s="133"/>
      <c r="XW29" s="133"/>
      <c r="XX29" s="133"/>
      <c r="XY29" s="133"/>
      <c r="XZ29" s="133"/>
      <c r="YA29" s="133"/>
      <c r="YB29" s="133"/>
      <c r="YC29" s="133"/>
      <c r="YD29" s="133"/>
      <c r="YE29" s="133"/>
      <c r="YF29" s="133"/>
      <c r="YG29" s="133"/>
      <c r="YH29" s="133"/>
      <c r="YI29" s="133"/>
      <c r="YJ29" s="133"/>
      <c r="YK29" s="133"/>
      <c r="YL29" s="133"/>
      <c r="YM29" s="133"/>
      <c r="YN29" s="133"/>
      <c r="YO29" s="133"/>
      <c r="YP29" s="133"/>
      <c r="YQ29" s="133"/>
      <c r="YR29" s="133"/>
      <c r="YS29" s="133"/>
      <c r="YT29" s="133"/>
      <c r="YU29" s="133"/>
      <c r="YV29" s="133"/>
      <c r="YW29" s="133"/>
      <c r="YX29" s="133"/>
      <c r="YY29" s="133"/>
      <c r="YZ29" s="133"/>
      <c r="ZA29" s="133"/>
      <c r="ZB29" s="133"/>
      <c r="ZC29" s="133"/>
      <c r="ZD29" s="133"/>
      <c r="ZE29" s="133"/>
      <c r="ZF29" s="133"/>
      <c r="ZG29" s="133"/>
      <c r="ZH29" s="133"/>
      <c r="ZI29" s="133"/>
      <c r="ZJ29" s="133"/>
      <c r="ZK29" s="133"/>
      <c r="ZL29" s="133"/>
      <c r="ZM29" s="133"/>
      <c r="ZN29" s="133"/>
      <c r="ZO29" s="133"/>
      <c r="ZP29" s="133"/>
      <c r="ZQ29" s="133"/>
      <c r="ZR29" s="133"/>
      <c r="ZS29" s="133"/>
      <c r="ZT29" s="133"/>
      <c r="ZU29" s="133"/>
      <c r="ZV29" s="133"/>
      <c r="ZW29" s="133"/>
      <c r="ZX29" s="133"/>
      <c r="ZY29" s="133"/>
      <c r="ZZ29" s="133"/>
      <c r="AAA29" s="133"/>
      <c r="AAB29" s="133"/>
      <c r="AAC29" s="133"/>
      <c r="AAD29" s="133"/>
      <c r="AAE29" s="133"/>
      <c r="AAF29" s="133"/>
      <c r="AAG29" s="133"/>
      <c r="AAH29" s="133"/>
      <c r="AAI29" s="133"/>
      <c r="AAJ29" s="133"/>
      <c r="AAK29" s="133"/>
      <c r="AAL29" s="133"/>
      <c r="AAM29" s="133"/>
      <c r="AAN29" s="133"/>
      <c r="AAO29" s="133"/>
      <c r="AAP29" s="133"/>
      <c r="AAQ29" s="133"/>
      <c r="AAR29" s="133"/>
      <c r="AAS29" s="133"/>
      <c r="AAT29" s="133"/>
      <c r="AAU29" s="133"/>
      <c r="AAV29" s="133"/>
      <c r="AAW29" s="133"/>
      <c r="AAX29" s="133"/>
      <c r="AAY29" s="133"/>
      <c r="AAZ29" s="133"/>
      <c r="ABA29" s="133"/>
      <c r="ABB29" s="133"/>
      <c r="ABC29" s="133"/>
      <c r="ABD29" s="133"/>
      <c r="ABE29" s="133"/>
      <c r="ABF29" s="133"/>
      <c r="ABG29" s="133"/>
      <c r="ABH29" s="133"/>
      <c r="ABI29" s="133"/>
      <c r="ABJ29" s="133"/>
      <c r="ABK29" s="133"/>
      <c r="ABL29" s="133"/>
      <c r="ABM29" s="133"/>
      <c r="ABN29" s="133"/>
      <c r="ABO29" s="133"/>
      <c r="ABP29" s="133"/>
      <c r="ABQ29" s="133"/>
      <c r="ABR29" s="133"/>
      <c r="ABS29" s="133"/>
      <c r="ABT29" s="133"/>
      <c r="ABU29" s="133"/>
      <c r="ABV29" s="133"/>
      <c r="ABW29" s="133"/>
      <c r="ABX29" s="133"/>
      <c r="ABY29" s="133"/>
      <c r="ABZ29" s="133"/>
      <c r="ACA29" s="133"/>
      <c r="ACB29" s="133"/>
      <c r="ACC29" s="133"/>
      <c r="ACD29" s="133"/>
      <c r="ACE29" s="133"/>
      <c r="ACF29" s="133"/>
      <c r="ACG29" s="133"/>
      <c r="ACH29" s="133"/>
      <c r="ACI29" s="133"/>
      <c r="ACJ29" s="133"/>
      <c r="ACK29" s="133"/>
      <c r="ACL29" s="133"/>
      <c r="ACM29" s="133"/>
      <c r="ACN29" s="133"/>
      <c r="ACO29" s="133"/>
      <c r="ACP29" s="133"/>
      <c r="ACQ29" s="133"/>
      <c r="ACR29" s="133"/>
      <c r="ACS29" s="133"/>
      <c r="ACT29" s="133"/>
      <c r="ACU29" s="133"/>
      <c r="ACV29" s="133"/>
      <c r="ACW29" s="133"/>
      <c r="ACX29" s="133"/>
      <c r="ACY29" s="133"/>
      <c r="ACZ29" s="133"/>
      <c r="ADA29" s="133"/>
      <c r="ADB29" s="133"/>
      <c r="ADC29" s="133"/>
      <c r="ADD29" s="133"/>
      <c r="ADE29" s="133"/>
      <c r="ADF29" s="133"/>
      <c r="ADG29" s="133"/>
      <c r="ADH29" s="133"/>
      <c r="ADI29" s="133"/>
      <c r="ADJ29" s="133"/>
      <c r="ADK29" s="133"/>
      <c r="ADL29" s="133"/>
      <c r="ADM29" s="133"/>
      <c r="ADN29" s="133"/>
      <c r="ADO29" s="133"/>
      <c r="ADP29" s="133"/>
      <c r="ADQ29" s="133"/>
      <c r="ADR29" s="133"/>
      <c r="ADS29" s="133"/>
      <c r="ADT29" s="133"/>
      <c r="ADU29" s="133"/>
      <c r="ADV29" s="133"/>
      <c r="ADW29" s="133"/>
      <c r="ADX29" s="133"/>
      <c r="ADY29" s="133"/>
      <c r="ADZ29" s="133"/>
      <c r="AEA29" s="133"/>
      <c r="AEB29" s="133"/>
      <c r="AEC29" s="133"/>
      <c r="AED29" s="133"/>
      <c r="AEE29" s="133"/>
      <c r="AEF29" s="133"/>
      <c r="AEG29" s="133"/>
      <c r="AEH29" s="133"/>
      <c r="AEI29" s="133"/>
      <c r="AEJ29" s="133"/>
      <c r="AEK29" s="133"/>
      <c r="AEL29" s="133"/>
      <c r="AEM29" s="133"/>
      <c r="AEN29" s="133"/>
      <c r="AEO29" s="133"/>
      <c r="AEP29" s="133"/>
      <c r="AEQ29" s="133"/>
      <c r="AER29" s="133"/>
      <c r="AES29" s="133"/>
      <c r="AET29" s="133"/>
      <c r="AEU29" s="133"/>
      <c r="AEV29" s="133"/>
      <c r="AEW29" s="133"/>
      <c r="AEX29" s="133"/>
      <c r="AEY29" s="133"/>
      <c r="AEZ29" s="133"/>
      <c r="AFA29" s="133"/>
      <c r="AFB29" s="133"/>
      <c r="AFC29" s="133"/>
      <c r="AFD29" s="133"/>
      <c r="AFE29" s="133"/>
      <c r="AFF29" s="133"/>
      <c r="AFG29" s="133"/>
      <c r="AFH29" s="133"/>
      <c r="AFI29" s="133"/>
      <c r="AFJ29" s="133"/>
      <c r="AFK29" s="133"/>
      <c r="AFL29" s="133"/>
      <c r="AFM29" s="133"/>
      <c r="AFN29" s="133"/>
      <c r="AFO29" s="133"/>
      <c r="AFP29" s="133"/>
      <c r="AFQ29" s="133"/>
      <c r="AFR29" s="133"/>
      <c r="AFS29" s="133"/>
      <c r="AFT29" s="133"/>
      <c r="AFU29" s="133"/>
      <c r="AFV29" s="133"/>
      <c r="AFW29" s="133"/>
      <c r="AFX29" s="133"/>
      <c r="AFY29" s="133"/>
      <c r="AFZ29" s="133"/>
      <c r="AGA29" s="133"/>
      <c r="AGB29" s="133"/>
      <c r="AGC29" s="133"/>
      <c r="AGD29" s="133"/>
      <c r="AGE29" s="133"/>
      <c r="AGF29" s="133"/>
      <c r="AGG29" s="133"/>
      <c r="AGH29" s="133"/>
      <c r="AGI29" s="133"/>
      <c r="AGJ29" s="133"/>
      <c r="AGK29" s="133"/>
      <c r="AGL29" s="133"/>
      <c r="AGM29" s="133"/>
      <c r="AGN29" s="133"/>
      <c r="AGO29" s="133"/>
      <c r="AGP29" s="133"/>
      <c r="AGQ29" s="133"/>
      <c r="AGR29" s="133"/>
      <c r="AGS29" s="133"/>
      <c r="AGT29" s="133"/>
      <c r="AGU29" s="133"/>
      <c r="AGV29" s="133"/>
      <c r="AGW29" s="133"/>
      <c r="AGX29" s="133"/>
      <c r="AGY29" s="133"/>
      <c r="AGZ29" s="133"/>
      <c r="AHA29" s="133"/>
      <c r="AHB29" s="133"/>
      <c r="AHC29" s="133"/>
      <c r="AHD29" s="133"/>
      <c r="AHE29" s="133"/>
      <c r="AHF29" s="133"/>
      <c r="AHG29" s="133"/>
      <c r="AHH29" s="133"/>
      <c r="AHI29" s="133"/>
      <c r="AHJ29" s="133"/>
      <c r="AHK29" s="133"/>
      <c r="AHL29" s="133"/>
      <c r="AHM29" s="133"/>
      <c r="AHN29" s="133"/>
      <c r="AHO29" s="133"/>
      <c r="AHP29" s="133"/>
      <c r="AHQ29" s="133"/>
      <c r="AHR29" s="133"/>
      <c r="AHS29" s="133"/>
      <c r="AHT29" s="133"/>
      <c r="AHU29" s="133"/>
      <c r="AHV29" s="133"/>
      <c r="AHW29" s="133"/>
      <c r="AHX29" s="133"/>
      <c r="AHY29" s="133"/>
      <c r="AHZ29" s="133"/>
      <c r="AIA29" s="133"/>
      <c r="AIB29" s="133"/>
      <c r="AIC29" s="133"/>
      <c r="AID29" s="133"/>
      <c r="AIE29" s="133"/>
      <c r="AIF29" s="133"/>
      <c r="AIG29" s="133"/>
      <c r="AIH29" s="133"/>
      <c r="AII29" s="133"/>
      <c r="AIJ29" s="133"/>
      <c r="AIK29" s="133"/>
      <c r="AIL29" s="133"/>
      <c r="AIM29" s="133"/>
      <c r="AIN29" s="133"/>
      <c r="AIO29" s="133"/>
      <c r="AIP29" s="133"/>
      <c r="AIQ29" s="133"/>
      <c r="AIR29" s="133"/>
      <c r="AIS29" s="133"/>
      <c r="AIT29" s="133"/>
      <c r="AIU29" s="133"/>
      <c r="AIV29" s="133"/>
      <c r="AIW29" s="133"/>
      <c r="AIX29" s="133"/>
      <c r="AIY29" s="133"/>
      <c r="AIZ29" s="133"/>
      <c r="AJA29" s="133"/>
      <c r="AJB29" s="133"/>
      <c r="AJC29" s="133"/>
      <c r="AJD29" s="133"/>
      <c r="AJE29" s="133"/>
      <c r="AJF29" s="133"/>
      <c r="AJG29" s="133"/>
      <c r="AJH29" s="133"/>
      <c r="AJI29" s="133"/>
      <c r="AJJ29" s="133"/>
      <c r="AJK29" s="133"/>
      <c r="AJL29" s="133"/>
      <c r="AJM29" s="133"/>
      <c r="AJN29" s="133"/>
      <c r="AJO29" s="133"/>
      <c r="AJP29" s="133"/>
      <c r="AJQ29" s="133"/>
      <c r="AJR29" s="133"/>
      <c r="AJS29" s="133"/>
      <c r="AJT29" s="133"/>
      <c r="AJU29" s="133"/>
      <c r="AJV29" s="133"/>
      <c r="AJW29" s="133"/>
      <c r="AJX29" s="133"/>
      <c r="AJY29" s="133"/>
      <c r="AJZ29" s="133"/>
      <c r="AKA29" s="133"/>
      <c r="AKB29" s="133"/>
      <c r="AKC29" s="133"/>
      <c r="AKD29" s="133"/>
      <c r="AKE29" s="133"/>
      <c r="AKF29" s="133"/>
      <c r="AKG29" s="133"/>
      <c r="AKH29" s="133"/>
      <c r="AKI29" s="133"/>
      <c r="AKJ29" s="133"/>
      <c r="AKK29" s="133"/>
      <c r="AKL29" s="133"/>
      <c r="AKM29" s="133"/>
      <c r="AKN29" s="133"/>
      <c r="AKO29" s="133"/>
      <c r="AKP29" s="133"/>
      <c r="AKQ29" s="133"/>
      <c r="AKR29" s="133"/>
      <c r="AKS29" s="133"/>
      <c r="AKT29" s="133"/>
      <c r="AKU29" s="133"/>
      <c r="AKV29" s="133"/>
      <c r="AKW29" s="133"/>
      <c r="AKX29" s="133"/>
      <c r="AKY29" s="133"/>
      <c r="AKZ29" s="133"/>
      <c r="ALA29" s="133"/>
      <c r="ALB29" s="133"/>
      <c r="ALC29" s="133"/>
      <c r="ALD29" s="133"/>
      <c r="ALE29" s="133"/>
      <c r="ALF29" s="133"/>
      <c r="ALG29" s="133"/>
      <c r="ALH29" s="133"/>
      <c r="ALI29" s="133"/>
      <c r="ALJ29" s="133"/>
      <c r="ALK29" s="133"/>
      <c r="ALL29" s="133"/>
      <c r="ALM29" s="133"/>
      <c r="ALN29" s="133"/>
      <c r="ALO29" s="133"/>
      <c r="ALP29" s="133"/>
      <c r="ALQ29" s="133"/>
      <c r="ALR29" s="133"/>
      <c r="ALS29" s="133"/>
      <c r="ALT29" s="133"/>
      <c r="ALU29" s="133"/>
      <c r="ALV29" s="133"/>
      <c r="ALW29" s="133"/>
      <c r="ALX29" s="133"/>
      <c r="ALY29" s="133"/>
      <c r="ALZ29" s="133"/>
      <c r="AMA29" s="133"/>
      <c r="AMB29" s="133"/>
      <c r="AMC29" s="133"/>
      <c r="AMD29" s="133"/>
      <c r="AME29" s="133"/>
      <c r="AMF29" s="133"/>
      <c r="AMG29" s="133"/>
      <c r="AMH29" s="133"/>
      <c r="AMI29" s="133"/>
      <c r="AMJ29" s="133"/>
      <c r="AMK29" s="133"/>
      <c r="AML29" s="133"/>
      <c r="AMM29" s="133"/>
      <c r="AMN29" s="133"/>
      <c r="AMO29" s="133"/>
      <c r="AMP29" s="133"/>
      <c r="AMQ29" s="133"/>
      <c r="AMR29" s="133"/>
      <c r="AMS29" s="133"/>
      <c r="AMT29" s="133"/>
      <c r="AMU29" s="133"/>
      <c r="AMV29" s="133"/>
      <c r="AMW29" s="133"/>
      <c r="AMX29" s="133"/>
      <c r="AMY29" s="133"/>
      <c r="AMZ29" s="133"/>
      <c r="ANA29" s="133"/>
      <c r="ANB29" s="133"/>
      <c r="ANC29" s="133"/>
      <c r="AND29" s="133"/>
      <c r="ANE29" s="133"/>
      <c r="ANF29" s="133"/>
      <c r="ANG29" s="133"/>
      <c r="ANH29" s="133"/>
      <c r="ANI29" s="133"/>
      <c r="ANJ29" s="133"/>
      <c r="ANK29" s="133"/>
      <c r="ANL29" s="133"/>
      <c r="ANM29" s="133"/>
      <c r="ANN29" s="133"/>
      <c r="ANO29" s="133"/>
      <c r="ANP29" s="133"/>
      <c r="ANQ29" s="133"/>
      <c r="ANR29" s="133"/>
      <c r="ANS29" s="133"/>
      <c r="ANT29" s="133"/>
      <c r="ANU29" s="133"/>
      <c r="ANV29" s="133"/>
      <c r="ANW29" s="133"/>
      <c r="ANX29" s="133"/>
      <c r="ANY29" s="133"/>
      <c r="ANZ29" s="133"/>
      <c r="AOA29" s="133"/>
      <c r="AOB29" s="133"/>
      <c r="AOC29" s="133"/>
      <c r="AOD29" s="133"/>
      <c r="AOE29" s="133"/>
      <c r="AOF29" s="133"/>
      <c r="AOG29" s="133"/>
      <c r="AOH29" s="133"/>
      <c r="AOI29" s="133"/>
      <c r="AOJ29" s="133"/>
      <c r="AOK29" s="133"/>
      <c r="AOL29" s="133"/>
      <c r="AOM29" s="133"/>
      <c r="AON29" s="133"/>
      <c r="AOO29" s="133"/>
      <c r="AOP29" s="133"/>
      <c r="AOQ29" s="133"/>
      <c r="AOR29" s="133"/>
      <c r="AOS29" s="133"/>
      <c r="AOT29" s="133"/>
      <c r="AOU29" s="133"/>
      <c r="AOV29" s="133"/>
      <c r="AOW29" s="133"/>
      <c r="AOX29" s="133"/>
      <c r="AOY29" s="133"/>
      <c r="AOZ29" s="133"/>
      <c r="APA29" s="133"/>
      <c r="APB29" s="133"/>
      <c r="APC29" s="133"/>
      <c r="APD29" s="133"/>
      <c r="APE29" s="133"/>
      <c r="APF29" s="133"/>
      <c r="APG29" s="133"/>
      <c r="APH29" s="133"/>
      <c r="API29" s="133"/>
      <c r="APJ29" s="133"/>
      <c r="APK29" s="133"/>
      <c r="APL29" s="133"/>
      <c r="APM29" s="133"/>
      <c r="APN29" s="133"/>
      <c r="APO29" s="133"/>
      <c r="APP29" s="133"/>
      <c r="APQ29" s="133"/>
      <c r="APR29" s="133"/>
      <c r="APS29" s="133"/>
      <c r="APT29" s="133"/>
      <c r="APU29" s="133"/>
      <c r="APV29" s="133"/>
      <c r="APW29" s="133"/>
      <c r="APX29" s="133"/>
      <c r="APY29" s="133"/>
      <c r="APZ29" s="133"/>
      <c r="AQA29" s="133"/>
      <c r="AQB29" s="133"/>
      <c r="AQC29" s="133"/>
      <c r="AQD29" s="133"/>
      <c r="AQE29" s="133"/>
      <c r="AQF29" s="133"/>
      <c r="AQG29" s="133"/>
      <c r="AQH29" s="133"/>
      <c r="AQI29" s="133"/>
      <c r="AQJ29" s="133"/>
      <c r="AQK29" s="133"/>
      <c r="AQL29" s="133"/>
      <c r="AQM29" s="133"/>
      <c r="AQN29" s="133"/>
      <c r="AQO29" s="133"/>
      <c r="AQP29" s="133"/>
      <c r="AQQ29" s="133"/>
      <c r="AQR29" s="133"/>
      <c r="AQS29" s="133"/>
      <c r="AQT29" s="133"/>
      <c r="AQU29" s="133"/>
      <c r="AQV29" s="133"/>
      <c r="AQW29" s="133"/>
      <c r="AQX29" s="133"/>
      <c r="AQY29" s="133"/>
      <c r="AQZ29" s="133"/>
      <c r="ARA29" s="133"/>
      <c r="ARB29" s="133"/>
      <c r="ARC29" s="133"/>
      <c r="ARD29" s="133"/>
      <c r="ARE29" s="133"/>
      <c r="ARF29" s="133"/>
      <c r="ARG29" s="133"/>
      <c r="ARH29" s="133"/>
      <c r="ARI29" s="133"/>
      <c r="ARJ29" s="133"/>
      <c r="ARK29" s="133"/>
      <c r="ARL29" s="133"/>
      <c r="ARM29" s="133"/>
      <c r="ARN29" s="133"/>
      <c r="ARO29" s="133"/>
      <c r="ARP29" s="133"/>
      <c r="ARQ29" s="133"/>
      <c r="ARR29" s="133"/>
      <c r="ARS29" s="133"/>
      <c r="ART29" s="133"/>
      <c r="ARU29" s="133"/>
      <c r="ARV29" s="133"/>
      <c r="ARW29" s="133"/>
      <c r="ARX29" s="133"/>
      <c r="ARY29" s="133"/>
      <c r="ARZ29" s="133"/>
      <c r="ASA29" s="133"/>
      <c r="ASB29" s="133"/>
      <c r="ASC29" s="133"/>
      <c r="ASD29" s="133"/>
      <c r="ASE29" s="133"/>
      <c r="ASF29" s="133"/>
      <c r="ASG29" s="133"/>
      <c r="ASH29" s="133"/>
      <c r="ASI29" s="133"/>
      <c r="ASJ29" s="133"/>
      <c r="ASK29" s="133"/>
      <c r="ASL29" s="133"/>
      <c r="ASM29" s="133"/>
      <c r="ASN29" s="133"/>
      <c r="ASO29" s="133"/>
      <c r="ASP29" s="133"/>
      <c r="ASQ29" s="133"/>
      <c r="ASR29" s="133"/>
      <c r="ASS29" s="133"/>
      <c r="AST29" s="133"/>
      <c r="ASU29" s="133"/>
      <c r="ASV29" s="133"/>
      <c r="ASW29" s="133"/>
      <c r="ASX29" s="133"/>
      <c r="ASY29" s="133"/>
      <c r="ASZ29" s="133"/>
      <c r="ATA29" s="133"/>
      <c r="ATB29" s="133"/>
      <c r="ATC29" s="133"/>
      <c r="ATD29" s="133"/>
      <c r="ATE29" s="133"/>
      <c r="ATF29" s="133"/>
      <c r="ATG29" s="133"/>
      <c r="ATH29" s="133"/>
      <c r="ATI29" s="133"/>
      <c r="ATJ29" s="133"/>
      <c r="ATK29" s="133"/>
      <c r="ATL29" s="133"/>
      <c r="ATM29" s="133"/>
      <c r="ATN29" s="133"/>
      <c r="ATO29" s="133"/>
      <c r="ATP29" s="133"/>
      <c r="ATQ29" s="133"/>
      <c r="ATR29" s="133"/>
      <c r="ATS29" s="133"/>
      <c r="ATT29" s="133"/>
      <c r="ATU29" s="133"/>
      <c r="ATV29" s="133"/>
      <c r="ATW29" s="133"/>
      <c r="ATX29" s="133"/>
      <c r="ATY29" s="133"/>
      <c r="ATZ29" s="133"/>
      <c r="AUA29" s="133"/>
      <c r="AUB29" s="133"/>
      <c r="AUC29" s="133"/>
      <c r="AUD29" s="133"/>
      <c r="AUE29" s="133"/>
      <c r="AUF29" s="133"/>
      <c r="AUG29" s="133"/>
      <c r="AUH29" s="133"/>
      <c r="AUI29" s="133"/>
      <c r="AUJ29" s="133"/>
      <c r="AUK29" s="133"/>
      <c r="AUL29" s="133"/>
      <c r="AUM29" s="133"/>
      <c r="AUN29" s="133"/>
      <c r="AUO29" s="133"/>
      <c r="AUP29" s="133"/>
      <c r="AUQ29" s="133"/>
      <c r="AUR29" s="133"/>
      <c r="AUS29" s="133"/>
      <c r="AUT29" s="133"/>
      <c r="AUU29" s="133"/>
      <c r="AUV29" s="133"/>
      <c r="AUW29" s="133"/>
      <c r="AUX29" s="133"/>
      <c r="AUY29" s="133"/>
      <c r="AUZ29" s="133"/>
      <c r="AVA29" s="133"/>
      <c r="AVB29" s="133"/>
      <c r="AVC29" s="133"/>
      <c r="AVD29" s="133"/>
      <c r="AVE29" s="133"/>
      <c r="AVF29" s="133"/>
      <c r="AVG29" s="133"/>
      <c r="AVH29" s="133"/>
      <c r="AVI29" s="133"/>
      <c r="AVJ29" s="133"/>
      <c r="AVK29" s="133"/>
      <c r="AVL29" s="133"/>
      <c r="AVM29" s="133"/>
      <c r="AVN29" s="133"/>
      <c r="AVO29" s="133"/>
      <c r="AVP29" s="133"/>
      <c r="AVQ29" s="133"/>
      <c r="AVR29" s="133"/>
      <c r="AVS29" s="133"/>
      <c r="AVT29" s="133"/>
      <c r="AVU29" s="133"/>
      <c r="AVV29" s="133"/>
      <c r="AVW29" s="133"/>
      <c r="AVX29" s="133"/>
      <c r="AVY29" s="133"/>
      <c r="AVZ29" s="133"/>
      <c r="AWA29" s="133"/>
      <c r="AWB29" s="133"/>
      <c r="AWC29" s="133"/>
      <c r="AWD29" s="133"/>
      <c r="AWE29" s="133"/>
      <c r="AWF29" s="133"/>
      <c r="AWG29" s="133"/>
      <c r="AWH29" s="133"/>
      <c r="AWI29" s="133"/>
      <c r="AWJ29" s="133"/>
      <c r="AWK29" s="133"/>
      <c r="AWL29" s="133"/>
      <c r="AWM29" s="133"/>
      <c r="AWN29" s="133"/>
      <c r="AWO29" s="133"/>
      <c r="AWP29" s="133"/>
      <c r="AWQ29" s="133"/>
      <c r="AWR29" s="133"/>
      <c r="AWS29" s="133"/>
      <c r="AWT29" s="133"/>
      <c r="AWU29" s="133"/>
      <c r="AWV29" s="133"/>
      <c r="AWW29" s="133"/>
      <c r="AWX29" s="133"/>
      <c r="AWY29" s="133"/>
      <c r="AWZ29" s="133"/>
      <c r="AXA29" s="133"/>
      <c r="AXB29" s="133"/>
      <c r="AXC29" s="133"/>
      <c r="AXD29" s="133"/>
      <c r="AXE29" s="133"/>
      <c r="AXF29" s="133"/>
      <c r="AXG29" s="133"/>
      <c r="AXH29" s="133"/>
      <c r="AXI29" s="133"/>
      <c r="AXJ29" s="133"/>
      <c r="AXK29" s="133"/>
      <c r="AXL29" s="133"/>
      <c r="AXM29" s="133"/>
      <c r="AXN29" s="133"/>
      <c r="AXO29" s="133"/>
      <c r="AXP29" s="133"/>
      <c r="AXQ29" s="133"/>
      <c r="AXR29" s="133"/>
      <c r="AXS29" s="133"/>
      <c r="AXT29" s="133"/>
      <c r="AXU29" s="133"/>
      <c r="AXV29" s="133"/>
      <c r="AXW29" s="133"/>
      <c r="AXX29" s="133"/>
      <c r="AXY29" s="133"/>
      <c r="AXZ29" s="133"/>
      <c r="AYA29" s="133"/>
      <c r="AYB29" s="133"/>
      <c r="AYC29" s="133"/>
      <c r="AYD29" s="133"/>
      <c r="AYE29" s="133"/>
      <c r="AYF29" s="133"/>
      <c r="AYG29" s="133"/>
      <c r="AYH29" s="133"/>
      <c r="AYI29" s="133"/>
      <c r="AYJ29" s="133"/>
      <c r="AYK29" s="133"/>
      <c r="AYL29" s="133"/>
      <c r="AYM29" s="133"/>
      <c r="AYN29" s="133"/>
      <c r="AYO29" s="133"/>
      <c r="AYP29" s="133"/>
      <c r="AYQ29" s="133"/>
      <c r="AYR29" s="133"/>
      <c r="AYS29" s="133"/>
      <c r="AYT29" s="133"/>
      <c r="AYU29" s="133"/>
      <c r="AYV29" s="133"/>
      <c r="AYW29" s="133"/>
      <c r="AYX29" s="133"/>
      <c r="AYY29" s="133"/>
      <c r="AYZ29" s="133"/>
      <c r="AZA29" s="133"/>
      <c r="AZB29" s="133"/>
      <c r="AZC29" s="133"/>
      <c r="AZD29" s="133"/>
      <c r="AZE29" s="133"/>
      <c r="AZF29" s="133"/>
      <c r="AZG29" s="133"/>
      <c r="AZH29" s="133"/>
      <c r="AZI29" s="133"/>
      <c r="AZJ29" s="133"/>
      <c r="AZK29" s="133"/>
      <c r="AZL29" s="133"/>
      <c r="AZM29" s="133"/>
      <c r="AZN29" s="133"/>
      <c r="AZO29" s="133"/>
      <c r="AZP29" s="133"/>
      <c r="AZQ29" s="133"/>
      <c r="AZR29" s="133"/>
      <c r="AZS29" s="133"/>
      <c r="AZT29" s="133"/>
      <c r="AZU29" s="133"/>
      <c r="AZV29" s="133"/>
      <c r="AZW29" s="133"/>
      <c r="AZX29" s="133"/>
      <c r="AZY29" s="133"/>
      <c r="AZZ29" s="133"/>
      <c r="BAA29" s="133"/>
      <c r="BAB29" s="133"/>
      <c r="BAC29" s="133"/>
      <c r="BAD29" s="133"/>
      <c r="BAE29" s="133"/>
      <c r="BAF29" s="133"/>
      <c r="BAG29" s="133"/>
      <c r="BAH29" s="133"/>
      <c r="BAI29" s="133"/>
      <c r="BAJ29" s="133"/>
      <c r="BAK29" s="133"/>
      <c r="BAL29" s="133"/>
      <c r="BAM29" s="133"/>
      <c r="BAN29" s="133"/>
      <c r="BAO29" s="133"/>
      <c r="BAP29" s="133"/>
      <c r="BAQ29" s="133"/>
      <c r="BAR29" s="133"/>
      <c r="BAS29" s="133"/>
      <c r="BAT29" s="133"/>
      <c r="BAU29" s="133"/>
      <c r="BAV29" s="133"/>
      <c r="BAW29" s="133"/>
      <c r="BAX29" s="133"/>
      <c r="BAY29" s="133"/>
      <c r="BAZ29" s="133"/>
      <c r="BBA29" s="133"/>
      <c r="BBB29" s="133"/>
      <c r="BBC29" s="133"/>
      <c r="BBD29" s="133"/>
      <c r="BBE29" s="133"/>
      <c r="BBF29" s="133"/>
      <c r="BBG29" s="133"/>
      <c r="BBH29" s="133"/>
      <c r="BBI29" s="133"/>
      <c r="BBJ29" s="133"/>
      <c r="BBK29" s="133"/>
      <c r="BBL29" s="133"/>
      <c r="BBM29" s="133"/>
      <c r="BBN29" s="133"/>
      <c r="BBO29" s="133"/>
      <c r="BBP29" s="133"/>
      <c r="BBQ29" s="133"/>
      <c r="BBR29" s="133"/>
      <c r="BBS29" s="133"/>
      <c r="BBT29" s="133"/>
      <c r="BBU29" s="133"/>
      <c r="BBV29" s="133"/>
      <c r="BBW29" s="133"/>
      <c r="BBX29" s="133"/>
      <c r="BBY29" s="133"/>
      <c r="BBZ29" s="133"/>
      <c r="BCA29" s="133"/>
      <c r="BCB29" s="133"/>
      <c r="BCC29" s="133"/>
      <c r="BCD29" s="133"/>
      <c r="BCE29" s="133"/>
      <c r="BCF29" s="133"/>
      <c r="BCG29" s="133"/>
      <c r="BCH29" s="133"/>
      <c r="BCI29" s="133"/>
      <c r="BCJ29" s="133"/>
      <c r="BCK29" s="133"/>
      <c r="BCL29" s="133"/>
      <c r="BCM29" s="133"/>
      <c r="BCN29" s="133"/>
      <c r="BCO29" s="133"/>
      <c r="BCP29" s="133"/>
      <c r="BCQ29" s="133"/>
      <c r="BCR29" s="133"/>
      <c r="BCS29" s="133"/>
      <c r="BCT29" s="133"/>
      <c r="BCU29" s="133"/>
      <c r="BCV29" s="133"/>
      <c r="BCW29" s="133"/>
      <c r="BCX29" s="133"/>
      <c r="BCY29" s="133"/>
      <c r="BCZ29" s="133"/>
      <c r="BDA29" s="133"/>
      <c r="BDB29" s="133"/>
      <c r="BDC29" s="133"/>
      <c r="BDD29" s="133"/>
      <c r="BDE29" s="133"/>
      <c r="BDF29" s="133"/>
      <c r="BDG29" s="133"/>
      <c r="BDH29" s="133"/>
      <c r="BDI29" s="133"/>
      <c r="BDJ29" s="133"/>
      <c r="BDK29" s="133"/>
      <c r="BDL29" s="133"/>
      <c r="BDM29" s="133"/>
      <c r="BDN29" s="133"/>
      <c r="BDO29" s="133"/>
      <c r="BDP29" s="133"/>
      <c r="BDQ29" s="133"/>
      <c r="BDR29" s="133"/>
      <c r="BDS29" s="133"/>
      <c r="BDT29" s="133"/>
      <c r="BDU29" s="133"/>
      <c r="BDV29" s="133"/>
      <c r="BDW29" s="133"/>
      <c r="BDX29" s="133"/>
      <c r="BDY29" s="133"/>
      <c r="BDZ29" s="133"/>
      <c r="BEA29" s="133"/>
      <c r="BEB29" s="133"/>
      <c r="BEC29" s="133"/>
      <c r="BED29" s="133"/>
      <c r="BEE29" s="133"/>
      <c r="BEF29" s="133"/>
      <c r="BEG29" s="133"/>
      <c r="BEH29" s="133"/>
      <c r="BEI29" s="133"/>
      <c r="BEJ29" s="133"/>
      <c r="BEK29" s="133"/>
      <c r="BEL29" s="133"/>
      <c r="BEM29" s="133"/>
      <c r="BEN29" s="133"/>
      <c r="BEO29" s="133"/>
      <c r="BEP29" s="133"/>
      <c r="BEQ29" s="133"/>
      <c r="BER29" s="133"/>
      <c r="BES29" s="133"/>
      <c r="BET29" s="133"/>
      <c r="BEU29" s="133"/>
      <c r="BEV29" s="133"/>
      <c r="BEW29" s="133"/>
      <c r="BEX29" s="133"/>
      <c r="BEY29" s="133"/>
      <c r="BEZ29" s="133"/>
      <c r="BFA29" s="133"/>
      <c r="BFB29" s="133"/>
      <c r="BFC29" s="133"/>
      <c r="BFD29" s="133"/>
      <c r="BFE29" s="133"/>
      <c r="BFF29" s="133"/>
      <c r="BFG29" s="133"/>
      <c r="BFH29" s="133"/>
      <c r="BFI29" s="133"/>
      <c r="BFJ29" s="133"/>
      <c r="BFK29" s="133"/>
      <c r="BFL29" s="133"/>
      <c r="BFM29" s="133"/>
      <c r="BFN29" s="133"/>
      <c r="BFO29" s="133"/>
      <c r="BFP29" s="133"/>
      <c r="BFQ29" s="133"/>
      <c r="BFR29" s="133"/>
      <c r="BFS29" s="133"/>
      <c r="BFT29" s="133"/>
      <c r="BFU29" s="133"/>
      <c r="BFV29" s="133"/>
      <c r="BFW29" s="133"/>
      <c r="BFX29" s="133"/>
      <c r="BFY29" s="133"/>
      <c r="BFZ29" s="133"/>
      <c r="BGA29" s="133"/>
      <c r="BGB29" s="133"/>
      <c r="BGC29" s="133"/>
      <c r="BGD29" s="133"/>
      <c r="BGE29" s="133"/>
      <c r="BGF29" s="133"/>
      <c r="BGG29" s="133"/>
      <c r="BGH29" s="133"/>
      <c r="BGI29" s="133"/>
      <c r="BGJ29" s="133"/>
      <c r="BGK29" s="133"/>
      <c r="BGL29" s="133"/>
      <c r="BGM29" s="133"/>
      <c r="BGN29" s="133"/>
      <c r="BGO29" s="133"/>
      <c r="BGP29" s="133"/>
      <c r="BGQ29" s="133"/>
      <c r="BGR29" s="133"/>
      <c r="BGS29" s="133"/>
      <c r="BGT29" s="133"/>
      <c r="BGU29" s="133"/>
      <c r="BGV29" s="133"/>
      <c r="BGW29" s="133"/>
      <c r="BGX29" s="133"/>
      <c r="BGY29" s="133"/>
      <c r="BGZ29" s="133"/>
      <c r="BHA29" s="133"/>
      <c r="BHB29" s="133"/>
      <c r="BHC29" s="133"/>
      <c r="BHD29" s="133"/>
      <c r="BHE29" s="133"/>
      <c r="BHF29" s="133"/>
      <c r="BHG29" s="133"/>
      <c r="BHH29" s="133"/>
      <c r="BHI29" s="133"/>
      <c r="BHJ29" s="133"/>
      <c r="BHK29" s="133"/>
      <c r="BHL29" s="133"/>
      <c r="BHM29" s="133"/>
      <c r="BHN29" s="133"/>
      <c r="BHO29" s="133"/>
      <c r="BHP29" s="133"/>
      <c r="BHQ29" s="133"/>
      <c r="BHR29" s="133"/>
      <c r="BHS29" s="133"/>
      <c r="BHT29" s="133"/>
      <c r="BHU29" s="133"/>
      <c r="BHV29" s="133"/>
      <c r="BHW29" s="133"/>
      <c r="BHX29" s="133"/>
      <c r="BHY29" s="133"/>
      <c r="BHZ29" s="133"/>
      <c r="BIA29" s="133"/>
      <c r="BIB29" s="133"/>
      <c r="BIC29" s="133"/>
      <c r="BID29" s="133"/>
      <c r="BIE29" s="133"/>
      <c r="BIF29" s="133"/>
      <c r="BIG29" s="133"/>
      <c r="BIH29" s="133"/>
      <c r="BII29" s="133"/>
      <c r="BIJ29" s="133"/>
      <c r="BIK29" s="133"/>
      <c r="BIL29" s="133"/>
      <c r="BIM29" s="133"/>
      <c r="BIN29" s="133"/>
      <c r="BIO29" s="133"/>
      <c r="BIP29" s="133"/>
      <c r="BIQ29" s="133"/>
      <c r="BIR29" s="133"/>
      <c r="BIS29" s="133"/>
      <c r="BIT29" s="133"/>
      <c r="BIU29" s="133"/>
      <c r="BIV29" s="133"/>
      <c r="BIW29" s="133"/>
      <c r="BIX29" s="133"/>
      <c r="BIY29" s="133"/>
      <c r="BIZ29" s="133"/>
      <c r="BJA29" s="133"/>
      <c r="BJB29" s="133"/>
      <c r="BJC29" s="133"/>
      <c r="BJD29" s="133"/>
      <c r="BJE29" s="133"/>
      <c r="BJF29" s="133"/>
      <c r="BJG29" s="133"/>
      <c r="BJH29" s="133"/>
      <c r="BJI29" s="133"/>
      <c r="BJJ29" s="133"/>
      <c r="BJK29" s="133"/>
      <c r="BJL29" s="133"/>
      <c r="BJM29" s="133"/>
      <c r="BJN29" s="133"/>
      <c r="BJO29" s="133"/>
      <c r="BJP29" s="133"/>
      <c r="BJQ29" s="133"/>
      <c r="BJR29" s="133"/>
      <c r="BJS29" s="133"/>
      <c r="BJT29" s="133"/>
      <c r="BJU29" s="133"/>
      <c r="BJV29" s="133"/>
      <c r="BJW29" s="133"/>
      <c r="BJX29" s="133"/>
      <c r="BJY29" s="133"/>
      <c r="BJZ29" s="133"/>
      <c r="BKA29" s="133"/>
      <c r="BKB29" s="133"/>
      <c r="BKC29" s="133"/>
      <c r="BKD29" s="133"/>
      <c r="BKE29" s="133"/>
      <c r="BKF29" s="133"/>
      <c r="BKG29" s="133"/>
      <c r="BKH29" s="133"/>
      <c r="BKI29" s="133"/>
      <c r="BKJ29" s="133"/>
      <c r="BKK29" s="133"/>
      <c r="BKL29" s="133"/>
      <c r="BKM29" s="133"/>
      <c r="BKN29" s="133"/>
      <c r="BKO29" s="133"/>
      <c r="BKP29" s="133"/>
      <c r="BKQ29" s="133"/>
      <c r="BKR29" s="133"/>
      <c r="BKS29" s="133"/>
      <c r="BKT29" s="133"/>
      <c r="BKU29" s="133"/>
      <c r="BKV29" s="133"/>
      <c r="BKW29" s="133"/>
      <c r="BKX29" s="133"/>
      <c r="BKY29" s="133"/>
      <c r="BKZ29" s="133"/>
      <c r="BLA29" s="133"/>
      <c r="BLB29" s="133"/>
      <c r="BLC29" s="133"/>
      <c r="BLD29" s="133"/>
      <c r="BLE29" s="133"/>
      <c r="BLF29" s="133"/>
      <c r="BLG29" s="133"/>
      <c r="BLH29" s="133"/>
      <c r="BLI29" s="133"/>
      <c r="BLJ29" s="133"/>
      <c r="BLK29" s="133"/>
      <c r="BLL29" s="133"/>
      <c r="BLM29" s="133"/>
      <c r="BLN29" s="133"/>
      <c r="BLO29" s="133"/>
      <c r="BLP29" s="133"/>
      <c r="BLQ29" s="133"/>
      <c r="BLR29" s="133"/>
      <c r="BLS29" s="133"/>
      <c r="BLT29" s="133"/>
      <c r="BLU29" s="133"/>
      <c r="BLV29" s="133"/>
      <c r="BLW29" s="133"/>
      <c r="BLX29" s="133"/>
      <c r="BLY29" s="133"/>
      <c r="BLZ29" s="133"/>
      <c r="BMA29" s="133"/>
      <c r="BMB29" s="133"/>
      <c r="BMC29" s="133"/>
      <c r="BMD29" s="133"/>
      <c r="BME29" s="133"/>
      <c r="BMF29" s="133"/>
      <c r="BMG29" s="133"/>
      <c r="BMH29" s="133"/>
      <c r="BMI29" s="133"/>
      <c r="BMJ29" s="133"/>
      <c r="BMK29" s="133"/>
      <c r="BML29" s="133"/>
      <c r="BMM29" s="133"/>
      <c r="BMN29" s="133"/>
      <c r="BMO29" s="133"/>
      <c r="BMP29" s="133"/>
      <c r="BMQ29" s="133"/>
      <c r="BMR29" s="133"/>
      <c r="BMS29" s="133"/>
      <c r="BMT29" s="133"/>
      <c r="BMU29" s="133"/>
      <c r="BMV29" s="133"/>
      <c r="BMW29" s="133"/>
      <c r="BMX29" s="133"/>
      <c r="BMY29" s="133"/>
      <c r="BMZ29" s="133"/>
      <c r="BNA29" s="133"/>
      <c r="BNB29" s="133"/>
      <c r="BNC29" s="133"/>
      <c r="BND29" s="133"/>
      <c r="BNE29" s="133"/>
      <c r="BNF29" s="133"/>
      <c r="BNG29" s="133"/>
      <c r="BNH29" s="133"/>
      <c r="BNI29" s="133"/>
      <c r="BNJ29" s="133"/>
      <c r="BNK29" s="133"/>
      <c r="BNL29" s="133"/>
      <c r="BNM29" s="133"/>
      <c r="BNN29" s="133"/>
      <c r="BNO29" s="133"/>
      <c r="BNP29" s="133"/>
      <c r="BNQ29" s="133"/>
      <c r="BNR29" s="133"/>
      <c r="BNS29" s="133"/>
      <c r="BNT29" s="133"/>
      <c r="BNU29" s="133"/>
      <c r="BNV29" s="133"/>
      <c r="BNW29" s="133"/>
      <c r="BNX29" s="133"/>
      <c r="BNY29" s="133"/>
      <c r="BNZ29" s="133"/>
      <c r="BOA29" s="133"/>
      <c r="BOB29" s="133"/>
      <c r="BOC29" s="133"/>
      <c r="BOD29" s="133"/>
      <c r="BOE29" s="133"/>
      <c r="BOF29" s="133"/>
      <c r="BOG29" s="133"/>
      <c r="BOH29" s="133"/>
      <c r="BOI29" s="133"/>
      <c r="BOJ29" s="133"/>
      <c r="BOK29" s="133"/>
      <c r="BOL29" s="133"/>
      <c r="BOM29" s="133"/>
      <c r="BON29" s="133"/>
      <c r="BOO29" s="133"/>
      <c r="BOP29" s="133"/>
      <c r="BOQ29" s="133"/>
      <c r="BOR29" s="133"/>
      <c r="BOS29" s="133"/>
      <c r="BOT29" s="133"/>
      <c r="BOU29" s="133"/>
      <c r="BOV29" s="133"/>
      <c r="BOW29" s="133"/>
      <c r="BOX29" s="133"/>
      <c r="BOY29" s="133"/>
      <c r="BOZ29" s="133"/>
      <c r="BPA29" s="133"/>
      <c r="BPB29" s="133"/>
      <c r="BPC29" s="133"/>
      <c r="BPD29" s="133"/>
      <c r="BPE29" s="133"/>
      <c r="BPF29" s="133"/>
      <c r="BPG29" s="133"/>
      <c r="BPH29" s="133"/>
      <c r="BPI29" s="133"/>
      <c r="BPJ29" s="133"/>
      <c r="BPK29" s="133"/>
      <c r="BPL29" s="133"/>
      <c r="BPM29" s="133"/>
      <c r="BPN29" s="133"/>
      <c r="BPO29" s="133"/>
      <c r="BPP29" s="133"/>
      <c r="BPQ29" s="133"/>
      <c r="BPR29" s="133"/>
      <c r="BPS29" s="133"/>
      <c r="BPT29" s="133"/>
      <c r="BPU29" s="133"/>
      <c r="BPV29" s="133"/>
      <c r="BPW29" s="133"/>
      <c r="BPX29" s="133"/>
      <c r="BPY29" s="133"/>
      <c r="BPZ29" s="133"/>
      <c r="BQA29" s="133"/>
      <c r="BQB29" s="133"/>
      <c r="BQC29" s="133"/>
      <c r="BQD29" s="133"/>
      <c r="BQE29" s="133"/>
      <c r="BQF29" s="133"/>
      <c r="BQG29" s="133"/>
      <c r="BQH29" s="133"/>
      <c r="BQI29" s="133"/>
      <c r="BQJ29" s="133"/>
      <c r="BQK29" s="133"/>
      <c r="BQL29" s="133"/>
      <c r="BQM29" s="133"/>
      <c r="BQN29" s="133"/>
      <c r="BQO29" s="133"/>
      <c r="BQP29" s="133"/>
      <c r="BQQ29" s="133"/>
      <c r="BQR29" s="133"/>
      <c r="BQS29" s="133"/>
      <c r="BQT29" s="133"/>
      <c r="BQU29" s="133"/>
      <c r="BQV29" s="133"/>
      <c r="BQW29" s="133"/>
      <c r="BQX29" s="133"/>
      <c r="BQY29" s="133"/>
      <c r="BQZ29" s="133"/>
      <c r="BRA29" s="133"/>
      <c r="BRB29" s="133"/>
      <c r="BRC29" s="133"/>
      <c r="BRD29" s="133"/>
      <c r="BRE29" s="133"/>
      <c r="BRF29" s="133"/>
      <c r="BRG29" s="133"/>
      <c r="BRH29" s="133"/>
      <c r="BRI29" s="133"/>
      <c r="BRJ29" s="133"/>
      <c r="BRK29" s="133"/>
      <c r="BRL29" s="133"/>
      <c r="BRM29" s="133"/>
      <c r="BRN29" s="133"/>
      <c r="BRO29" s="133"/>
      <c r="BRP29" s="133"/>
      <c r="BRQ29" s="133"/>
      <c r="BRR29" s="133"/>
      <c r="BRS29" s="133"/>
      <c r="BRT29" s="133"/>
      <c r="BRU29" s="133"/>
      <c r="BRV29" s="133"/>
      <c r="BRW29" s="133"/>
      <c r="BRX29" s="133"/>
      <c r="BRY29" s="133"/>
      <c r="BRZ29" s="133"/>
      <c r="BSA29" s="133"/>
      <c r="BSB29" s="133"/>
      <c r="BSC29" s="133"/>
      <c r="BSD29" s="133"/>
      <c r="BSE29" s="133"/>
      <c r="BSF29" s="133"/>
      <c r="BSG29" s="133"/>
      <c r="BSH29" s="133"/>
      <c r="BSI29" s="133"/>
      <c r="BSJ29" s="133"/>
      <c r="BSK29" s="133"/>
      <c r="BSL29" s="133"/>
      <c r="BSM29" s="133"/>
      <c r="BSN29" s="133"/>
      <c r="BSO29" s="133"/>
      <c r="BSP29" s="133"/>
      <c r="BSQ29" s="133"/>
      <c r="BSR29" s="133"/>
      <c r="BSS29" s="133"/>
      <c r="BST29" s="133"/>
      <c r="BSU29" s="133"/>
      <c r="BSV29" s="133"/>
      <c r="BSW29" s="133"/>
      <c r="BSX29" s="133"/>
      <c r="BSY29" s="133"/>
      <c r="BSZ29" s="133"/>
      <c r="BTA29" s="133"/>
      <c r="BTB29" s="133"/>
      <c r="BTC29" s="133"/>
      <c r="BTD29" s="133"/>
      <c r="BTE29" s="133"/>
      <c r="BTF29" s="133"/>
      <c r="BTG29" s="133"/>
      <c r="BTH29" s="133"/>
      <c r="BTI29" s="133"/>
      <c r="BTJ29" s="133"/>
      <c r="BTK29" s="133"/>
      <c r="BTL29" s="133"/>
      <c r="BTM29" s="133"/>
      <c r="BTN29" s="133"/>
      <c r="BTO29" s="133"/>
      <c r="BTP29" s="133"/>
      <c r="BTQ29" s="133"/>
      <c r="BTR29" s="133"/>
      <c r="BTS29" s="133"/>
      <c r="BTT29" s="133"/>
      <c r="BTU29" s="133"/>
      <c r="BTV29" s="133"/>
      <c r="BTW29" s="133"/>
      <c r="BTX29" s="133"/>
      <c r="BTY29" s="133"/>
      <c r="BTZ29" s="133"/>
      <c r="BUA29" s="133"/>
      <c r="BUB29" s="133"/>
      <c r="BUC29" s="133"/>
      <c r="BUD29" s="133"/>
      <c r="BUE29" s="133"/>
      <c r="BUF29" s="133"/>
      <c r="BUG29" s="133"/>
      <c r="BUH29" s="133"/>
      <c r="BUI29" s="133"/>
      <c r="BUJ29" s="133"/>
      <c r="BUK29" s="133"/>
      <c r="BUL29" s="133"/>
      <c r="BUM29" s="133"/>
      <c r="BUN29" s="133"/>
      <c r="BUO29" s="133"/>
      <c r="BUP29" s="133"/>
      <c r="BUQ29" s="133"/>
      <c r="BUR29" s="133"/>
      <c r="BUS29" s="133"/>
      <c r="BUT29" s="133"/>
      <c r="BUU29" s="133"/>
      <c r="BUV29" s="133"/>
      <c r="BUW29" s="133"/>
      <c r="BUX29" s="133"/>
      <c r="BUY29" s="133"/>
      <c r="BUZ29" s="133"/>
      <c r="BVA29" s="133"/>
      <c r="BVB29" s="133"/>
      <c r="BVC29" s="133"/>
      <c r="BVD29" s="133"/>
      <c r="BVE29" s="133"/>
      <c r="BVF29" s="133"/>
      <c r="BVG29" s="133"/>
      <c r="BVH29" s="133"/>
      <c r="BVI29" s="133"/>
      <c r="BVJ29" s="133"/>
      <c r="BVK29" s="133"/>
      <c r="BVL29" s="133"/>
      <c r="BVM29" s="133"/>
      <c r="BVN29" s="133"/>
      <c r="BVO29" s="133"/>
      <c r="BVP29" s="133"/>
      <c r="BVQ29" s="133"/>
      <c r="BVR29" s="133"/>
      <c r="BVS29" s="133"/>
      <c r="BVT29" s="133"/>
      <c r="BVU29" s="133"/>
      <c r="BVV29" s="133"/>
      <c r="BVW29" s="133"/>
      <c r="BVX29" s="133"/>
      <c r="BVY29" s="133"/>
      <c r="BVZ29" s="133"/>
      <c r="BWA29" s="133"/>
      <c r="BWB29" s="133"/>
      <c r="BWC29" s="133"/>
      <c r="BWD29" s="133"/>
      <c r="BWE29" s="133"/>
      <c r="BWF29" s="133"/>
      <c r="BWG29" s="133"/>
      <c r="BWH29" s="133"/>
      <c r="BWI29" s="133"/>
      <c r="BWJ29" s="133"/>
      <c r="BWK29" s="133"/>
      <c r="BWL29" s="133"/>
      <c r="BWM29" s="133"/>
      <c r="BWN29" s="133"/>
      <c r="BWO29" s="133"/>
      <c r="BWP29" s="133"/>
      <c r="BWQ29" s="133"/>
      <c r="BWR29" s="133"/>
      <c r="BWS29" s="133"/>
      <c r="BWT29" s="133"/>
      <c r="BWU29" s="133"/>
      <c r="BWV29" s="133"/>
      <c r="BWW29" s="133"/>
      <c r="BWX29" s="133"/>
      <c r="BWY29" s="133"/>
      <c r="BWZ29" s="133"/>
      <c r="BXA29" s="133"/>
      <c r="BXB29" s="133"/>
      <c r="BXC29" s="133"/>
      <c r="BXD29" s="133"/>
      <c r="BXE29" s="133"/>
      <c r="BXF29" s="133"/>
      <c r="BXG29" s="133"/>
      <c r="BXH29" s="133"/>
      <c r="BXI29" s="133"/>
      <c r="BXJ29" s="133"/>
      <c r="BXK29" s="133"/>
      <c r="BXL29" s="133"/>
      <c r="BXM29" s="133"/>
      <c r="BXN29" s="133"/>
      <c r="BXO29" s="133"/>
      <c r="BXP29" s="133"/>
      <c r="BXQ29" s="133"/>
      <c r="BXR29" s="133"/>
      <c r="BXS29" s="133"/>
      <c r="BXT29" s="133"/>
      <c r="BXU29" s="133"/>
      <c r="BXV29" s="133"/>
      <c r="BXW29" s="133"/>
      <c r="BXX29" s="133"/>
      <c r="BXY29" s="133"/>
      <c r="BXZ29" s="133"/>
      <c r="BYA29" s="133"/>
      <c r="BYB29" s="133"/>
      <c r="BYC29" s="133"/>
      <c r="BYD29" s="133"/>
      <c r="BYE29" s="133"/>
      <c r="BYF29" s="133"/>
      <c r="BYG29" s="133"/>
      <c r="BYH29" s="133"/>
      <c r="BYI29" s="133"/>
      <c r="BYJ29" s="133"/>
      <c r="BYK29" s="133"/>
      <c r="BYL29" s="133"/>
      <c r="BYM29" s="133"/>
      <c r="BYN29" s="133"/>
      <c r="BYO29" s="133"/>
      <c r="BYP29" s="133"/>
      <c r="BYQ29" s="133"/>
      <c r="BYR29" s="133"/>
      <c r="BYS29" s="133"/>
      <c r="BYT29" s="133"/>
      <c r="BYU29" s="133"/>
      <c r="BYV29" s="133"/>
      <c r="BYW29" s="133"/>
      <c r="BYX29" s="133"/>
      <c r="BYY29" s="133"/>
      <c r="BYZ29" s="133"/>
      <c r="BZA29" s="133"/>
      <c r="BZB29" s="133"/>
      <c r="BZC29" s="133"/>
      <c r="BZD29" s="133"/>
      <c r="BZE29" s="133"/>
      <c r="BZF29" s="133"/>
      <c r="BZG29" s="133"/>
      <c r="BZH29" s="133"/>
      <c r="BZI29" s="133"/>
      <c r="BZJ29" s="133"/>
      <c r="BZK29" s="133"/>
      <c r="BZL29" s="133"/>
      <c r="BZM29" s="133"/>
      <c r="BZN29" s="133"/>
      <c r="BZO29" s="133"/>
      <c r="BZP29" s="133"/>
      <c r="BZQ29" s="133"/>
      <c r="BZR29" s="133"/>
      <c r="BZS29" s="133"/>
      <c r="BZT29" s="133"/>
      <c r="BZU29" s="133"/>
      <c r="BZV29" s="133"/>
      <c r="BZW29" s="133"/>
      <c r="BZX29" s="133"/>
      <c r="BZY29" s="133"/>
      <c r="BZZ29" s="133"/>
      <c r="CAA29" s="133"/>
      <c r="CAB29" s="133"/>
      <c r="CAC29" s="133"/>
      <c r="CAD29" s="133"/>
      <c r="CAE29" s="133"/>
      <c r="CAF29" s="133"/>
      <c r="CAG29" s="133"/>
      <c r="CAH29" s="133"/>
      <c r="CAI29" s="133"/>
      <c r="CAJ29" s="133"/>
      <c r="CAK29" s="133"/>
      <c r="CAL29" s="133"/>
      <c r="CAM29" s="133"/>
      <c r="CAN29" s="133"/>
      <c r="CAO29" s="133"/>
      <c r="CAP29" s="133"/>
      <c r="CAQ29" s="133"/>
      <c r="CAR29" s="133"/>
      <c r="CAS29" s="133"/>
      <c r="CAT29" s="133"/>
      <c r="CAU29" s="133"/>
      <c r="CAV29" s="133"/>
      <c r="CAW29" s="133"/>
      <c r="CAX29" s="133"/>
      <c r="CAY29" s="133"/>
      <c r="CAZ29" s="133"/>
      <c r="CBA29" s="133"/>
      <c r="CBB29" s="133"/>
      <c r="CBC29" s="133"/>
      <c r="CBD29" s="133"/>
      <c r="CBE29" s="133"/>
      <c r="CBF29" s="133"/>
      <c r="CBG29" s="133"/>
      <c r="CBH29" s="133"/>
      <c r="CBI29" s="133"/>
      <c r="CBJ29" s="133"/>
      <c r="CBK29" s="133"/>
      <c r="CBL29" s="133"/>
      <c r="CBM29" s="133"/>
      <c r="CBN29" s="133"/>
      <c r="CBO29" s="133"/>
      <c r="CBP29" s="133"/>
      <c r="CBQ29" s="133"/>
      <c r="CBR29" s="133"/>
      <c r="CBS29" s="133"/>
      <c r="CBT29" s="133"/>
      <c r="CBU29" s="133"/>
      <c r="CBV29" s="133"/>
      <c r="CBW29" s="133"/>
      <c r="CBX29" s="133"/>
      <c r="CBY29" s="133"/>
      <c r="CBZ29" s="133"/>
      <c r="CCA29" s="133"/>
      <c r="CCB29" s="133"/>
      <c r="CCC29" s="133"/>
      <c r="CCD29" s="133"/>
      <c r="CCE29" s="133"/>
      <c r="CCF29" s="133"/>
      <c r="CCG29" s="133"/>
      <c r="CCH29" s="133"/>
      <c r="CCI29" s="133"/>
      <c r="CCJ29" s="133"/>
      <c r="CCK29" s="133"/>
      <c r="CCL29" s="133"/>
      <c r="CCM29" s="133"/>
      <c r="CCN29" s="133"/>
      <c r="CCO29" s="133"/>
      <c r="CCP29" s="133"/>
      <c r="CCQ29" s="133"/>
      <c r="CCR29" s="133"/>
      <c r="CCS29" s="133"/>
      <c r="CCT29" s="133"/>
      <c r="CCU29" s="133"/>
      <c r="CCV29" s="133"/>
      <c r="CCW29" s="133"/>
      <c r="CCX29" s="133"/>
      <c r="CCY29" s="133"/>
      <c r="CCZ29" s="133"/>
      <c r="CDA29" s="133"/>
      <c r="CDB29" s="133"/>
      <c r="CDC29" s="133"/>
      <c r="CDD29" s="133"/>
      <c r="CDE29" s="133"/>
      <c r="CDF29" s="133"/>
      <c r="CDG29" s="133"/>
      <c r="CDH29" s="133"/>
      <c r="CDI29" s="133"/>
      <c r="CDJ29" s="133"/>
      <c r="CDK29" s="133"/>
      <c r="CDL29" s="133"/>
      <c r="CDM29" s="133"/>
      <c r="CDN29" s="133"/>
      <c r="CDO29" s="133"/>
      <c r="CDP29" s="133"/>
      <c r="CDQ29" s="133"/>
      <c r="CDR29" s="133"/>
      <c r="CDS29" s="133"/>
      <c r="CDT29" s="133"/>
      <c r="CDU29" s="133"/>
      <c r="CDV29" s="133"/>
      <c r="CDW29" s="133"/>
      <c r="CDX29" s="133"/>
      <c r="CDY29" s="133"/>
      <c r="CDZ29" s="133"/>
      <c r="CEA29" s="133"/>
      <c r="CEB29" s="133"/>
      <c r="CEC29" s="133"/>
      <c r="CED29" s="133"/>
      <c r="CEE29" s="133"/>
      <c r="CEF29" s="133"/>
      <c r="CEG29" s="133"/>
      <c r="CEH29" s="133"/>
      <c r="CEI29" s="133"/>
      <c r="CEJ29" s="133"/>
      <c r="CEK29" s="133"/>
      <c r="CEL29" s="133"/>
      <c r="CEM29" s="133"/>
      <c r="CEN29" s="133"/>
      <c r="CEO29" s="133"/>
      <c r="CEP29" s="133"/>
      <c r="CEQ29" s="133"/>
      <c r="CER29" s="133"/>
      <c r="CES29" s="133"/>
      <c r="CET29" s="133"/>
      <c r="CEU29" s="133"/>
      <c r="CEV29" s="133"/>
      <c r="CEW29" s="133"/>
      <c r="CEX29" s="133"/>
      <c r="CEY29" s="133"/>
      <c r="CEZ29" s="133"/>
      <c r="CFA29" s="133"/>
      <c r="CFB29" s="133"/>
      <c r="CFC29" s="133"/>
      <c r="CFD29" s="133"/>
      <c r="CFE29" s="133"/>
      <c r="CFF29" s="133"/>
      <c r="CFG29" s="133"/>
      <c r="CFH29" s="133"/>
      <c r="CFI29" s="133"/>
      <c r="CFJ29" s="133"/>
      <c r="CFK29" s="133"/>
      <c r="CFL29" s="133"/>
      <c r="CFM29" s="133"/>
      <c r="CFN29" s="133"/>
      <c r="CFO29" s="133"/>
      <c r="CFP29" s="133"/>
      <c r="CFQ29" s="133"/>
      <c r="CFR29" s="133"/>
      <c r="CFS29" s="133"/>
      <c r="CFT29" s="133"/>
      <c r="CFU29" s="133"/>
      <c r="CFV29" s="133"/>
      <c r="CFW29" s="133"/>
      <c r="CFX29" s="133"/>
      <c r="CFY29" s="133"/>
      <c r="CFZ29" s="133"/>
      <c r="CGA29" s="133"/>
      <c r="CGB29" s="133"/>
      <c r="CGC29" s="133"/>
      <c r="CGD29" s="133"/>
      <c r="CGE29" s="133"/>
      <c r="CGF29" s="133"/>
      <c r="CGG29" s="133"/>
      <c r="CGH29" s="133"/>
      <c r="CGI29" s="133"/>
      <c r="CGJ29" s="133"/>
      <c r="CGK29" s="133"/>
      <c r="CGL29" s="133"/>
      <c r="CGM29" s="133"/>
      <c r="CGN29" s="133"/>
      <c r="CGO29" s="133"/>
      <c r="CGP29" s="133"/>
      <c r="CGQ29" s="133"/>
      <c r="CGR29" s="133"/>
      <c r="CGS29" s="133"/>
      <c r="CGT29" s="133"/>
      <c r="CGU29" s="133"/>
      <c r="CGV29" s="133"/>
      <c r="CGW29" s="133"/>
      <c r="CGX29" s="133"/>
      <c r="CGY29" s="133"/>
      <c r="CGZ29" s="133"/>
      <c r="CHA29" s="133"/>
      <c r="CHB29" s="133"/>
      <c r="CHC29" s="133"/>
      <c r="CHD29" s="133"/>
      <c r="CHE29" s="133"/>
      <c r="CHF29" s="133"/>
      <c r="CHG29" s="133"/>
      <c r="CHH29" s="133"/>
      <c r="CHI29" s="133"/>
      <c r="CHJ29" s="133"/>
      <c r="CHK29" s="133"/>
      <c r="CHL29" s="133"/>
      <c r="CHM29" s="133"/>
      <c r="CHN29" s="133"/>
      <c r="CHO29" s="133"/>
      <c r="CHP29" s="133"/>
      <c r="CHQ29" s="133"/>
      <c r="CHR29" s="133"/>
      <c r="CHS29" s="133"/>
      <c r="CHT29" s="133"/>
      <c r="CHU29" s="133"/>
      <c r="CHV29" s="133"/>
      <c r="CHW29" s="133"/>
      <c r="CHX29" s="133"/>
      <c r="CHY29" s="133"/>
      <c r="CHZ29" s="133"/>
      <c r="CIA29" s="133"/>
      <c r="CIB29" s="133"/>
      <c r="CIC29" s="133"/>
      <c r="CID29" s="133"/>
      <c r="CIE29" s="133"/>
      <c r="CIF29" s="133"/>
      <c r="CIG29" s="133"/>
      <c r="CIH29" s="133"/>
      <c r="CII29" s="133"/>
      <c r="CIJ29" s="133"/>
      <c r="CIK29" s="133"/>
      <c r="CIL29" s="133"/>
      <c r="CIM29" s="133"/>
      <c r="CIN29" s="133"/>
      <c r="CIO29" s="133"/>
      <c r="CIP29" s="133"/>
      <c r="CIQ29" s="133"/>
      <c r="CIR29" s="133"/>
      <c r="CIS29" s="133"/>
      <c r="CIT29" s="133"/>
      <c r="CIU29" s="133"/>
      <c r="CIV29" s="133"/>
      <c r="CIW29" s="133"/>
      <c r="CIX29" s="133"/>
      <c r="CIY29" s="133"/>
      <c r="CIZ29" s="133"/>
      <c r="CJA29" s="133"/>
      <c r="CJB29" s="133"/>
      <c r="CJC29" s="133"/>
      <c r="CJD29" s="133"/>
      <c r="CJE29" s="133"/>
      <c r="CJF29" s="133"/>
      <c r="CJG29" s="133"/>
      <c r="CJH29" s="133"/>
      <c r="CJI29" s="133"/>
      <c r="CJJ29" s="133"/>
      <c r="CJK29" s="133"/>
      <c r="CJL29" s="133"/>
      <c r="CJM29" s="133"/>
      <c r="CJN29" s="133"/>
      <c r="CJO29" s="133"/>
      <c r="CJP29" s="133"/>
      <c r="CJQ29" s="133"/>
      <c r="CJR29" s="133"/>
      <c r="CJS29" s="133"/>
      <c r="CJT29" s="133"/>
      <c r="CJU29" s="133"/>
      <c r="CJV29" s="133"/>
      <c r="CJW29" s="133"/>
      <c r="CJX29" s="133"/>
      <c r="CJY29" s="133"/>
      <c r="CJZ29" s="133"/>
      <c r="CKA29" s="133"/>
      <c r="CKB29" s="133"/>
      <c r="CKC29" s="133"/>
      <c r="CKD29" s="133"/>
      <c r="CKE29" s="133"/>
      <c r="CKF29" s="133"/>
      <c r="CKG29" s="133"/>
      <c r="CKH29" s="133"/>
      <c r="CKI29" s="133"/>
      <c r="CKJ29" s="133"/>
      <c r="CKK29" s="133"/>
      <c r="CKL29" s="133"/>
      <c r="CKM29" s="133"/>
      <c r="CKN29" s="133"/>
      <c r="CKO29" s="133"/>
      <c r="CKP29" s="133"/>
      <c r="CKQ29" s="133"/>
      <c r="CKR29" s="133"/>
      <c r="CKS29" s="133"/>
      <c r="CKT29" s="133"/>
      <c r="CKU29" s="133"/>
      <c r="CKV29" s="133"/>
      <c r="CKW29" s="133"/>
      <c r="CKX29" s="133"/>
      <c r="CKY29" s="133"/>
      <c r="CKZ29" s="133"/>
      <c r="CLA29" s="133"/>
      <c r="CLB29" s="133"/>
      <c r="CLC29" s="133"/>
      <c r="CLD29" s="133"/>
      <c r="CLE29" s="133"/>
      <c r="CLF29" s="133"/>
      <c r="CLG29" s="133"/>
      <c r="CLH29" s="133"/>
      <c r="CLI29" s="133"/>
      <c r="CLJ29" s="133"/>
      <c r="CLK29" s="133"/>
      <c r="CLL29" s="133"/>
      <c r="CLM29" s="133"/>
      <c r="CLN29" s="133"/>
      <c r="CLO29" s="133"/>
      <c r="CLP29" s="133"/>
      <c r="CLQ29" s="133"/>
      <c r="CLR29" s="133"/>
      <c r="CLS29" s="133"/>
      <c r="CLT29" s="133"/>
      <c r="CLU29" s="133"/>
      <c r="CLV29" s="133"/>
      <c r="CLW29" s="133"/>
      <c r="CLX29" s="133"/>
      <c r="CLY29" s="133"/>
      <c r="CLZ29" s="133"/>
      <c r="CMA29" s="133"/>
      <c r="CMB29" s="133"/>
      <c r="CMC29" s="133"/>
      <c r="CMD29" s="133"/>
      <c r="CME29" s="133"/>
      <c r="CMF29" s="133"/>
      <c r="CMG29" s="133"/>
      <c r="CMH29" s="133"/>
      <c r="CMI29" s="133"/>
      <c r="CMJ29" s="133"/>
      <c r="CMK29" s="133"/>
      <c r="CML29" s="133"/>
      <c r="CMM29" s="133"/>
      <c r="CMN29" s="133"/>
      <c r="CMO29" s="133"/>
      <c r="CMP29" s="133"/>
      <c r="CMQ29" s="133"/>
      <c r="CMR29" s="133"/>
      <c r="CMS29" s="133"/>
      <c r="CMT29" s="133"/>
      <c r="CMU29" s="133"/>
      <c r="CMV29" s="133"/>
      <c r="CMW29" s="133"/>
      <c r="CMX29" s="133"/>
      <c r="CMY29" s="133"/>
      <c r="CMZ29" s="133"/>
      <c r="CNA29" s="133"/>
      <c r="CNB29" s="133"/>
      <c r="CNC29" s="133"/>
      <c r="CND29" s="133"/>
      <c r="CNE29" s="133"/>
      <c r="CNF29" s="133"/>
      <c r="CNG29" s="133"/>
      <c r="CNH29" s="133"/>
      <c r="CNI29" s="133"/>
      <c r="CNJ29" s="133"/>
      <c r="CNK29" s="133"/>
      <c r="CNL29" s="133"/>
      <c r="CNM29" s="133"/>
      <c r="CNN29" s="133"/>
      <c r="CNO29" s="133"/>
      <c r="CNP29" s="133"/>
      <c r="CNQ29" s="133"/>
      <c r="CNR29" s="133"/>
      <c r="CNS29" s="133"/>
      <c r="CNT29" s="133"/>
      <c r="CNU29" s="133"/>
      <c r="CNV29" s="133"/>
      <c r="CNW29" s="133"/>
      <c r="CNX29" s="133"/>
      <c r="CNY29" s="133"/>
      <c r="CNZ29" s="133"/>
      <c r="COA29" s="133"/>
      <c r="COB29" s="133"/>
      <c r="COC29" s="133"/>
      <c r="COD29" s="133"/>
      <c r="COE29" s="133"/>
      <c r="COF29" s="133"/>
      <c r="COG29" s="133"/>
      <c r="COH29" s="133"/>
      <c r="COI29" s="133"/>
      <c r="COJ29" s="133"/>
      <c r="COK29" s="133"/>
      <c r="COL29" s="133"/>
      <c r="COM29" s="133"/>
      <c r="CON29" s="133"/>
      <c r="COO29" s="133"/>
      <c r="COP29" s="133"/>
      <c r="COQ29" s="133"/>
      <c r="COR29" s="133"/>
      <c r="COS29" s="133"/>
      <c r="COT29" s="133"/>
      <c r="COU29" s="133"/>
      <c r="COV29" s="133"/>
      <c r="COW29" s="133"/>
      <c r="COX29" s="133"/>
      <c r="COY29" s="133"/>
      <c r="COZ29" s="133"/>
      <c r="CPA29" s="133"/>
      <c r="CPB29" s="133"/>
      <c r="CPC29" s="133"/>
      <c r="CPD29" s="133"/>
      <c r="CPE29" s="133"/>
      <c r="CPF29" s="133"/>
      <c r="CPG29" s="133"/>
      <c r="CPH29" s="133"/>
      <c r="CPI29" s="133"/>
      <c r="CPJ29" s="133"/>
      <c r="CPK29" s="133"/>
      <c r="CPL29" s="133"/>
      <c r="CPM29" s="133"/>
      <c r="CPN29" s="133"/>
      <c r="CPO29" s="133"/>
      <c r="CPP29" s="133"/>
      <c r="CPQ29" s="133"/>
      <c r="CPR29" s="133"/>
      <c r="CPS29" s="133"/>
      <c r="CPT29" s="133"/>
      <c r="CPU29" s="133"/>
      <c r="CPV29" s="133"/>
      <c r="CPW29" s="133"/>
      <c r="CPX29" s="133"/>
      <c r="CPY29" s="133"/>
      <c r="CPZ29" s="133"/>
      <c r="CQA29" s="133"/>
      <c r="CQB29" s="133"/>
      <c r="CQC29" s="133"/>
      <c r="CQD29" s="133"/>
      <c r="CQE29" s="133"/>
      <c r="CQF29" s="133"/>
      <c r="CQG29" s="133"/>
      <c r="CQH29" s="133"/>
      <c r="CQI29" s="133"/>
      <c r="CQJ29" s="133"/>
      <c r="CQK29" s="133"/>
      <c r="CQL29" s="133"/>
      <c r="CQM29" s="133"/>
      <c r="CQN29" s="133"/>
      <c r="CQO29" s="133"/>
      <c r="CQP29" s="133"/>
      <c r="CQQ29" s="133"/>
      <c r="CQR29" s="133"/>
      <c r="CQS29" s="133"/>
      <c r="CQT29" s="133"/>
      <c r="CQU29" s="133"/>
      <c r="CQV29" s="133"/>
      <c r="CQW29" s="133"/>
      <c r="CQX29" s="133"/>
      <c r="CQY29" s="133"/>
      <c r="CQZ29" s="133"/>
      <c r="CRA29" s="133"/>
      <c r="CRB29" s="133"/>
      <c r="CRC29" s="133"/>
      <c r="CRD29" s="133"/>
      <c r="CRE29" s="133"/>
      <c r="CRF29" s="133"/>
      <c r="CRG29" s="133"/>
      <c r="CRH29" s="133"/>
      <c r="CRI29" s="133"/>
      <c r="CRJ29" s="133"/>
      <c r="CRK29" s="133"/>
      <c r="CRL29" s="133"/>
      <c r="CRM29" s="133"/>
      <c r="CRN29" s="133"/>
      <c r="CRO29" s="133"/>
      <c r="CRP29" s="133"/>
      <c r="CRQ29" s="133"/>
      <c r="CRR29" s="133"/>
      <c r="CRS29" s="133"/>
      <c r="CRT29" s="133"/>
      <c r="CRU29" s="133"/>
      <c r="CRV29" s="133"/>
      <c r="CRW29" s="133"/>
      <c r="CRX29" s="133"/>
      <c r="CRY29" s="133"/>
      <c r="CRZ29" s="133"/>
      <c r="CSA29" s="133"/>
      <c r="CSB29" s="133"/>
      <c r="CSC29" s="133"/>
      <c r="CSD29" s="133"/>
      <c r="CSE29" s="133"/>
      <c r="CSF29" s="133"/>
      <c r="CSG29" s="133"/>
      <c r="CSH29" s="133"/>
      <c r="CSI29" s="133"/>
      <c r="CSJ29" s="133"/>
      <c r="CSK29" s="133"/>
      <c r="CSL29" s="133"/>
      <c r="CSM29" s="133"/>
      <c r="CSN29" s="133"/>
      <c r="CSO29" s="133"/>
      <c r="CSP29" s="133"/>
      <c r="CSQ29" s="133"/>
      <c r="CSR29" s="133"/>
      <c r="CSS29" s="133"/>
      <c r="CST29" s="133"/>
      <c r="CSU29" s="133"/>
      <c r="CSV29" s="133"/>
      <c r="CSW29" s="133"/>
      <c r="CSX29" s="133"/>
      <c r="CSY29" s="133"/>
      <c r="CSZ29" s="133"/>
      <c r="CTA29" s="133"/>
      <c r="CTB29" s="133"/>
      <c r="CTC29" s="133"/>
      <c r="CTD29" s="133"/>
      <c r="CTE29" s="133"/>
      <c r="CTF29" s="133"/>
      <c r="CTG29" s="133"/>
      <c r="CTH29" s="133"/>
      <c r="CTI29" s="133"/>
      <c r="CTJ29" s="133"/>
      <c r="CTK29" s="133"/>
      <c r="CTL29" s="133"/>
      <c r="CTM29" s="133"/>
      <c r="CTN29" s="133"/>
      <c r="CTO29" s="133"/>
      <c r="CTP29" s="133"/>
      <c r="CTQ29" s="133"/>
      <c r="CTR29" s="133"/>
      <c r="CTS29" s="133"/>
      <c r="CTT29" s="133"/>
      <c r="CTU29" s="133"/>
      <c r="CTV29" s="133"/>
      <c r="CTW29" s="133"/>
      <c r="CTX29" s="133"/>
      <c r="CTY29" s="133"/>
      <c r="CTZ29" s="133"/>
      <c r="CUA29" s="133"/>
      <c r="CUB29" s="133"/>
      <c r="CUC29" s="133"/>
      <c r="CUD29" s="133"/>
      <c r="CUE29" s="133"/>
      <c r="CUF29" s="133"/>
      <c r="CUG29" s="133"/>
      <c r="CUH29" s="133"/>
      <c r="CUI29" s="133"/>
      <c r="CUJ29" s="133"/>
      <c r="CUK29" s="133"/>
      <c r="CUL29" s="133"/>
      <c r="CUM29" s="133"/>
      <c r="CUN29" s="133"/>
      <c r="CUO29" s="133"/>
      <c r="CUP29" s="133"/>
      <c r="CUQ29" s="133"/>
      <c r="CUR29" s="133"/>
      <c r="CUS29" s="133"/>
      <c r="CUT29" s="133"/>
      <c r="CUU29" s="133"/>
      <c r="CUV29" s="133"/>
      <c r="CUW29" s="133"/>
      <c r="CUX29" s="133"/>
      <c r="CUY29" s="133"/>
      <c r="CUZ29" s="133"/>
      <c r="CVA29" s="133"/>
      <c r="CVB29" s="133"/>
      <c r="CVC29" s="133"/>
      <c r="CVD29" s="133"/>
      <c r="CVE29" s="133"/>
      <c r="CVF29" s="133"/>
      <c r="CVG29" s="133"/>
      <c r="CVH29" s="133"/>
      <c r="CVI29" s="133"/>
      <c r="CVJ29" s="133"/>
      <c r="CVK29" s="133"/>
      <c r="CVL29" s="133"/>
      <c r="CVM29" s="133"/>
      <c r="CVN29" s="133"/>
      <c r="CVO29" s="133"/>
      <c r="CVP29" s="133"/>
      <c r="CVQ29" s="133"/>
      <c r="CVR29" s="133"/>
      <c r="CVS29" s="133"/>
      <c r="CVT29" s="133"/>
      <c r="CVU29" s="133"/>
      <c r="CVV29" s="133"/>
      <c r="CVW29" s="133"/>
      <c r="CVX29" s="133"/>
      <c r="CVY29" s="133"/>
      <c r="CVZ29" s="133"/>
      <c r="CWA29" s="133"/>
      <c r="CWB29" s="133"/>
      <c r="CWC29" s="133"/>
      <c r="CWD29" s="133"/>
      <c r="CWE29" s="133"/>
      <c r="CWF29" s="133"/>
      <c r="CWG29" s="133"/>
      <c r="CWH29" s="133"/>
      <c r="CWI29" s="133"/>
      <c r="CWJ29" s="133"/>
      <c r="CWK29" s="133"/>
      <c r="CWL29" s="133"/>
      <c r="CWM29" s="133"/>
      <c r="CWN29" s="133"/>
      <c r="CWO29" s="133"/>
      <c r="CWP29" s="133"/>
      <c r="CWQ29" s="133"/>
      <c r="CWR29" s="133"/>
      <c r="CWS29" s="133"/>
      <c r="CWT29" s="133"/>
      <c r="CWU29" s="133"/>
      <c r="CWV29" s="133"/>
      <c r="CWW29" s="133"/>
      <c r="CWX29" s="133"/>
      <c r="CWY29" s="133"/>
      <c r="CWZ29" s="133"/>
      <c r="CXA29" s="133"/>
      <c r="CXB29" s="133"/>
      <c r="CXC29" s="133"/>
      <c r="CXD29" s="133"/>
      <c r="CXE29" s="133"/>
      <c r="CXF29" s="133"/>
      <c r="CXG29" s="133"/>
      <c r="CXH29" s="133"/>
      <c r="CXI29" s="133"/>
      <c r="CXJ29" s="133"/>
      <c r="CXK29" s="133"/>
      <c r="CXL29" s="133"/>
      <c r="CXM29" s="133"/>
      <c r="CXN29" s="133"/>
      <c r="CXO29" s="133"/>
      <c r="CXP29" s="133"/>
      <c r="CXQ29" s="133"/>
      <c r="CXR29" s="133"/>
      <c r="CXS29" s="133"/>
      <c r="CXT29" s="133"/>
      <c r="CXU29" s="133"/>
      <c r="CXV29" s="133"/>
      <c r="CXW29" s="133"/>
      <c r="CXX29" s="133"/>
      <c r="CXY29" s="133"/>
      <c r="CXZ29" s="133"/>
      <c r="CYA29" s="133"/>
      <c r="CYB29" s="133"/>
      <c r="CYC29" s="133"/>
      <c r="CYD29" s="133"/>
      <c r="CYE29" s="133"/>
      <c r="CYF29" s="133"/>
      <c r="CYG29" s="133"/>
      <c r="CYH29" s="133"/>
      <c r="CYI29" s="133"/>
      <c r="CYJ29" s="133"/>
      <c r="CYK29" s="133"/>
      <c r="CYL29" s="133"/>
      <c r="CYM29" s="133"/>
      <c r="CYN29" s="133"/>
      <c r="CYO29" s="133"/>
      <c r="CYP29" s="133"/>
      <c r="CYQ29" s="133"/>
      <c r="CYR29" s="133"/>
      <c r="CYS29" s="133"/>
      <c r="CYT29" s="133"/>
      <c r="CYU29" s="133"/>
      <c r="CYV29" s="133"/>
      <c r="CYW29" s="133"/>
      <c r="CYX29" s="133"/>
      <c r="CYY29" s="133"/>
      <c r="CYZ29" s="133"/>
      <c r="CZA29" s="133"/>
      <c r="CZB29" s="133"/>
      <c r="CZC29" s="133"/>
      <c r="CZD29" s="133"/>
      <c r="CZE29" s="133"/>
      <c r="CZF29" s="133"/>
      <c r="CZG29" s="133"/>
      <c r="CZH29" s="133"/>
      <c r="CZI29" s="133"/>
      <c r="CZJ29" s="133"/>
      <c r="CZK29" s="133"/>
      <c r="CZL29" s="133"/>
      <c r="CZM29" s="133"/>
      <c r="CZN29" s="133"/>
      <c r="CZO29" s="133"/>
      <c r="CZP29" s="133"/>
      <c r="CZQ29" s="133"/>
      <c r="CZR29" s="133"/>
      <c r="CZS29" s="133"/>
      <c r="CZT29" s="133"/>
      <c r="CZU29" s="133"/>
      <c r="CZV29" s="133"/>
      <c r="CZW29" s="133"/>
      <c r="CZX29" s="133"/>
      <c r="CZY29" s="133"/>
      <c r="CZZ29" s="133"/>
      <c r="DAA29" s="133"/>
      <c r="DAB29" s="133"/>
      <c r="DAC29" s="133"/>
      <c r="DAD29" s="133"/>
      <c r="DAE29" s="133"/>
      <c r="DAF29" s="133"/>
      <c r="DAG29" s="133"/>
      <c r="DAH29" s="133"/>
      <c r="DAI29" s="133"/>
      <c r="DAJ29" s="133"/>
      <c r="DAK29" s="133"/>
      <c r="DAL29" s="133"/>
      <c r="DAM29" s="133"/>
      <c r="DAN29" s="133"/>
      <c r="DAO29" s="133"/>
      <c r="DAP29" s="133"/>
      <c r="DAQ29" s="133"/>
      <c r="DAR29" s="133"/>
      <c r="DAS29" s="133"/>
      <c r="DAT29" s="133"/>
      <c r="DAU29" s="133"/>
      <c r="DAV29" s="133"/>
      <c r="DAW29" s="133"/>
      <c r="DAX29" s="133"/>
      <c r="DAY29" s="133"/>
      <c r="DAZ29" s="133"/>
      <c r="DBA29" s="133"/>
      <c r="DBB29" s="133"/>
      <c r="DBC29" s="133"/>
      <c r="DBD29" s="133"/>
      <c r="DBE29" s="133"/>
      <c r="DBF29" s="133"/>
      <c r="DBG29" s="133"/>
      <c r="DBH29" s="133"/>
      <c r="DBI29" s="133"/>
      <c r="DBJ29" s="133"/>
      <c r="DBK29" s="133"/>
      <c r="DBL29" s="133"/>
      <c r="DBM29" s="133"/>
      <c r="DBN29" s="133"/>
      <c r="DBO29" s="133"/>
      <c r="DBP29" s="133"/>
      <c r="DBQ29" s="133"/>
      <c r="DBR29" s="133"/>
      <c r="DBS29" s="133"/>
      <c r="DBT29" s="133"/>
      <c r="DBU29" s="133"/>
      <c r="DBV29" s="133"/>
      <c r="DBW29" s="133"/>
      <c r="DBX29" s="133"/>
      <c r="DBY29" s="133"/>
      <c r="DBZ29" s="133"/>
      <c r="DCA29" s="133"/>
      <c r="DCB29" s="133"/>
      <c r="DCC29" s="133"/>
      <c r="DCD29" s="133"/>
      <c r="DCE29" s="133"/>
      <c r="DCF29" s="133"/>
      <c r="DCG29" s="133"/>
      <c r="DCH29" s="133"/>
      <c r="DCI29" s="133"/>
      <c r="DCJ29" s="133"/>
      <c r="DCK29" s="133"/>
      <c r="DCL29" s="133"/>
      <c r="DCM29" s="133"/>
      <c r="DCN29" s="133"/>
      <c r="DCO29" s="133"/>
      <c r="DCP29" s="133"/>
      <c r="DCQ29" s="133"/>
      <c r="DCR29" s="133"/>
      <c r="DCS29" s="133"/>
      <c r="DCT29" s="133"/>
      <c r="DCU29" s="133"/>
      <c r="DCV29" s="133"/>
      <c r="DCW29" s="133"/>
      <c r="DCX29" s="133"/>
      <c r="DCY29" s="133"/>
      <c r="DCZ29" s="133"/>
      <c r="DDA29" s="133"/>
      <c r="DDB29" s="133"/>
      <c r="DDC29" s="133"/>
      <c r="DDD29" s="133"/>
      <c r="DDE29" s="133"/>
      <c r="DDF29" s="133"/>
      <c r="DDG29" s="133"/>
      <c r="DDH29" s="133"/>
      <c r="DDI29" s="133"/>
      <c r="DDJ29" s="133"/>
      <c r="DDK29" s="133"/>
      <c r="DDL29" s="133"/>
      <c r="DDM29" s="133"/>
      <c r="DDN29" s="133"/>
      <c r="DDO29" s="133"/>
      <c r="DDP29" s="133"/>
      <c r="DDQ29" s="133"/>
      <c r="DDR29" s="133"/>
      <c r="DDS29" s="133"/>
      <c r="DDT29" s="133"/>
      <c r="DDU29" s="133"/>
      <c r="DDV29" s="133"/>
      <c r="DDW29" s="133"/>
      <c r="DDX29" s="133"/>
      <c r="DDY29" s="133"/>
      <c r="DDZ29" s="133"/>
      <c r="DEA29" s="133"/>
      <c r="DEB29" s="133"/>
      <c r="DEC29" s="133"/>
      <c r="DED29" s="133"/>
      <c r="DEE29" s="133"/>
      <c r="DEF29" s="133"/>
      <c r="DEG29" s="133"/>
      <c r="DEH29" s="133"/>
      <c r="DEI29" s="133"/>
      <c r="DEJ29" s="133"/>
      <c r="DEK29" s="133"/>
      <c r="DEL29" s="133"/>
      <c r="DEM29" s="133"/>
      <c r="DEN29" s="133"/>
      <c r="DEO29" s="133"/>
      <c r="DEP29" s="133"/>
      <c r="DEQ29" s="133"/>
      <c r="DER29" s="133"/>
      <c r="DES29" s="133"/>
      <c r="DET29" s="133"/>
      <c r="DEU29" s="133"/>
      <c r="DEV29" s="133"/>
      <c r="DEW29" s="133"/>
      <c r="DEX29" s="133"/>
      <c r="DEY29" s="133"/>
      <c r="DEZ29" s="133"/>
      <c r="DFA29" s="133"/>
      <c r="DFB29" s="133"/>
      <c r="DFC29" s="133"/>
      <c r="DFD29" s="133"/>
      <c r="DFE29" s="133"/>
      <c r="DFF29" s="133"/>
      <c r="DFG29" s="133"/>
      <c r="DFH29" s="133"/>
      <c r="DFI29" s="133"/>
      <c r="DFJ29" s="133"/>
      <c r="DFK29" s="133"/>
      <c r="DFL29" s="133"/>
      <c r="DFM29" s="133"/>
      <c r="DFN29" s="133"/>
      <c r="DFO29" s="133"/>
      <c r="DFP29" s="133"/>
      <c r="DFQ29" s="133"/>
      <c r="DFR29" s="133"/>
      <c r="DFS29" s="133"/>
      <c r="DFT29" s="133"/>
      <c r="DFU29" s="133"/>
      <c r="DFV29" s="133"/>
      <c r="DFW29" s="133"/>
      <c r="DFX29" s="133"/>
      <c r="DFY29" s="133"/>
      <c r="DFZ29" s="133"/>
      <c r="DGA29" s="133"/>
      <c r="DGB29" s="133"/>
      <c r="DGC29" s="133"/>
      <c r="DGD29" s="133"/>
      <c r="DGE29" s="133"/>
      <c r="DGF29" s="133"/>
      <c r="DGG29" s="133"/>
      <c r="DGH29" s="133"/>
      <c r="DGI29" s="133"/>
      <c r="DGJ29" s="133"/>
      <c r="DGK29" s="133"/>
      <c r="DGL29" s="133"/>
      <c r="DGM29" s="133"/>
      <c r="DGN29" s="133"/>
      <c r="DGO29" s="133"/>
      <c r="DGP29" s="133"/>
      <c r="DGQ29" s="133"/>
      <c r="DGR29" s="133"/>
      <c r="DGS29" s="133"/>
      <c r="DGT29" s="133"/>
      <c r="DGU29" s="133"/>
      <c r="DGV29" s="133"/>
      <c r="DGW29" s="133"/>
      <c r="DGX29" s="133"/>
      <c r="DGY29" s="133"/>
      <c r="DGZ29" s="133"/>
      <c r="DHA29" s="133"/>
      <c r="DHB29" s="133"/>
      <c r="DHC29" s="133"/>
      <c r="DHD29" s="133"/>
      <c r="DHE29" s="133"/>
      <c r="DHF29" s="133"/>
      <c r="DHG29" s="133"/>
      <c r="DHH29" s="133"/>
      <c r="DHI29" s="133"/>
      <c r="DHJ29" s="133"/>
      <c r="DHK29" s="133"/>
      <c r="DHL29" s="133"/>
      <c r="DHM29" s="133"/>
      <c r="DHN29" s="133"/>
      <c r="DHO29" s="133"/>
      <c r="DHP29" s="133"/>
      <c r="DHQ29" s="133"/>
      <c r="DHR29" s="133"/>
      <c r="DHS29" s="133"/>
      <c r="DHT29" s="133"/>
      <c r="DHU29" s="133"/>
      <c r="DHV29" s="133"/>
      <c r="DHW29" s="133"/>
      <c r="DHX29" s="133"/>
      <c r="DHY29" s="133"/>
      <c r="DHZ29" s="133"/>
      <c r="DIA29" s="133"/>
      <c r="DIB29" s="133"/>
      <c r="DIC29" s="133"/>
      <c r="DID29" s="133"/>
      <c r="DIE29" s="133"/>
      <c r="DIF29" s="133"/>
      <c r="DIG29" s="133"/>
      <c r="DIH29" s="133"/>
      <c r="DII29" s="133"/>
      <c r="DIJ29" s="133"/>
      <c r="DIK29" s="133"/>
      <c r="DIL29" s="133"/>
      <c r="DIM29" s="133"/>
      <c r="DIN29" s="133"/>
      <c r="DIO29" s="133"/>
      <c r="DIP29" s="133"/>
      <c r="DIQ29" s="133"/>
      <c r="DIR29" s="133"/>
      <c r="DIS29" s="133"/>
      <c r="DIT29" s="133"/>
      <c r="DIU29" s="133"/>
      <c r="DIV29" s="133"/>
      <c r="DIW29" s="133"/>
      <c r="DIX29" s="133"/>
      <c r="DIY29" s="133"/>
      <c r="DIZ29" s="133"/>
      <c r="DJA29" s="133"/>
      <c r="DJB29" s="133"/>
      <c r="DJC29" s="133"/>
      <c r="DJD29" s="133"/>
      <c r="DJE29" s="133"/>
      <c r="DJF29" s="133"/>
      <c r="DJG29" s="133"/>
      <c r="DJH29" s="133"/>
      <c r="DJI29" s="133"/>
      <c r="DJJ29" s="133"/>
      <c r="DJK29" s="133"/>
      <c r="DJL29" s="133"/>
      <c r="DJM29" s="133"/>
      <c r="DJN29" s="133"/>
      <c r="DJO29" s="133"/>
      <c r="DJP29" s="133"/>
      <c r="DJQ29" s="133"/>
      <c r="DJR29" s="133"/>
      <c r="DJS29" s="133"/>
      <c r="DJT29" s="133"/>
      <c r="DJU29" s="133"/>
      <c r="DJV29" s="133"/>
      <c r="DJW29" s="133"/>
      <c r="DJX29" s="133"/>
      <c r="DJY29" s="133"/>
      <c r="DJZ29" s="133"/>
      <c r="DKA29" s="133"/>
      <c r="DKB29" s="133"/>
      <c r="DKC29" s="133"/>
      <c r="DKD29" s="133"/>
      <c r="DKE29" s="133"/>
      <c r="DKF29" s="133"/>
      <c r="DKG29" s="133"/>
      <c r="DKH29" s="133"/>
      <c r="DKI29" s="133"/>
      <c r="DKJ29" s="133"/>
      <c r="DKK29" s="133"/>
      <c r="DKL29" s="133"/>
      <c r="DKM29" s="133"/>
      <c r="DKN29" s="133"/>
      <c r="DKO29" s="133"/>
      <c r="DKP29" s="133"/>
      <c r="DKQ29" s="133"/>
      <c r="DKR29" s="133"/>
      <c r="DKS29" s="133"/>
      <c r="DKT29" s="133"/>
      <c r="DKU29" s="133"/>
      <c r="DKV29" s="133"/>
      <c r="DKW29" s="133"/>
      <c r="DKX29" s="133"/>
      <c r="DKY29" s="133"/>
      <c r="DKZ29" s="133"/>
      <c r="DLA29" s="133"/>
      <c r="DLB29" s="133"/>
      <c r="DLC29" s="133"/>
      <c r="DLD29" s="133"/>
      <c r="DLE29" s="133"/>
      <c r="DLF29" s="133"/>
      <c r="DLG29" s="133"/>
      <c r="DLH29" s="133"/>
      <c r="DLI29" s="133"/>
      <c r="DLJ29" s="133"/>
      <c r="DLK29" s="133"/>
      <c r="DLL29" s="133"/>
      <c r="DLM29" s="133"/>
      <c r="DLN29" s="133"/>
      <c r="DLO29" s="133"/>
      <c r="DLP29" s="133"/>
      <c r="DLQ29" s="133"/>
      <c r="DLR29" s="133"/>
      <c r="DLS29" s="133"/>
      <c r="DLT29" s="133"/>
      <c r="DLU29" s="133"/>
      <c r="DLV29" s="133"/>
      <c r="DLW29" s="133"/>
      <c r="DLX29" s="133"/>
      <c r="DLY29" s="133"/>
      <c r="DLZ29" s="133"/>
      <c r="DMA29" s="133"/>
      <c r="DMB29" s="133"/>
      <c r="DMC29" s="133"/>
      <c r="DMD29" s="133"/>
      <c r="DME29" s="133"/>
      <c r="DMF29" s="133"/>
      <c r="DMG29" s="133"/>
      <c r="DMH29" s="133"/>
      <c r="DMI29" s="133"/>
      <c r="DMJ29" s="133"/>
      <c r="DMK29" s="133"/>
      <c r="DML29" s="133"/>
      <c r="DMM29" s="133"/>
      <c r="DMN29" s="133"/>
      <c r="DMO29" s="133"/>
      <c r="DMP29" s="133"/>
      <c r="DMQ29" s="133"/>
      <c r="DMR29" s="133"/>
      <c r="DMS29" s="133"/>
      <c r="DMT29" s="133"/>
      <c r="DMU29" s="133"/>
      <c r="DMV29" s="133"/>
      <c r="DMW29" s="133"/>
      <c r="DMX29" s="133"/>
      <c r="DMY29" s="133"/>
      <c r="DMZ29" s="133"/>
      <c r="DNA29" s="133"/>
      <c r="DNB29" s="133"/>
      <c r="DNC29" s="133"/>
      <c r="DND29" s="133"/>
      <c r="DNE29" s="133"/>
      <c r="DNF29" s="133"/>
      <c r="DNG29" s="133"/>
      <c r="DNH29" s="133"/>
      <c r="DNI29" s="133"/>
      <c r="DNJ29" s="133"/>
      <c r="DNK29" s="133"/>
      <c r="DNL29" s="133"/>
      <c r="DNM29" s="133"/>
      <c r="DNN29" s="133"/>
      <c r="DNO29" s="133"/>
      <c r="DNP29" s="133"/>
      <c r="DNQ29" s="133"/>
      <c r="DNR29" s="133"/>
      <c r="DNS29" s="133"/>
      <c r="DNT29" s="133"/>
      <c r="DNU29" s="133"/>
      <c r="DNV29" s="133"/>
      <c r="DNW29" s="133"/>
      <c r="DNX29" s="133"/>
      <c r="DNY29" s="133"/>
      <c r="DNZ29" s="133"/>
      <c r="DOA29" s="133"/>
      <c r="DOB29" s="133"/>
      <c r="DOC29" s="133"/>
      <c r="DOD29" s="133"/>
      <c r="DOE29" s="133"/>
      <c r="DOF29" s="133"/>
      <c r="DOG29" s="133"/>
      <c r="DOH29" s="133"/>
      <c r="DOI29" s="133"/>
      <c r="DOJ29" s="133"/>
      <c r="DOK29" s="133"/>
      <c r="DOL29" s="133"/>
      <c r="DOM29" s="133"/>
      <c r="DON29" s="133"/>
      <c r="DOO29" s="133"/>
      <c r="DOP29" s="133"/>
      <c r="DOQ29" s="133"/>
      <c r="DOR29" s="133"/>
      <c r="DOS29" s="133"/>
      <c r="DOT29" s="133"/>
      <c r="DOU29" s="133"/>
      <c r="DOV29" s="133"/>
      <c r="DOW29" s="133"/>
      <c r="DOX29" s="133"/>
      <c r="DOY29" s="133"/>
      <c r="DOZ29" s="133"/>
      <c r="DPA29" s="133"/>
      <c r="DPB29" s="133"/>
      <c r="DPC29" s="133"/>
      <c r="DPD29" s="133"/>
      <c r="DPE29" s="133"/>
      <c r="DPF29" s="133"/>
      <c r="DPG29" s="133"/>
      <c r="DPH29" s="133"/>
      <c r="DPI29" s="133"/>
      <c r="DPJ29" s="133"/>
      <c r="DPK29" s="133"/>
      <c r="DPL29" s="133"/>
      <c r="DPM29" s="133"/>
      <c r="DPN29" s="133"/>
      <c r="DPO29" s="133"/>
      <c r="DPP29" s="133"/>
      <c r="DPQ29" s="133"/>
      <c r="DPR29" s="133"/>
      <c r="DPS29" s="133"/>
      <c r="DPT29" s="133"/>
      <c r="DPU29" s="133"/>
      <c r="DPV29" s="133"/>
      <c r="DPW29" s="133"/>
      <c r="DPX29" s="133"/>
      <c r="DPY29" s="133"/>
      <c r="DPZ29" s="133"/>
      <c r="DQA29" s="133"/>
      <c r="DQB29" s="133"/>
      <c r="DQC29" s="133"/>
      <c r="DQD29" s="133"/>
      <c r="DQE29" s="133"/>
      <c r="DQF29" s="133"/>
      <c r="DQG29" s="133"/>
      <c r="DQH29" s="133"/>
      <c r="DQI29" s="133"/>
      <c r="DQJ29" s="133"/>
      <c r="DQK29" s="133"/>
      <c r="DQL29" s="133"/>
      <c r="DQM29" s="133"/>
      <c r="DQN29" s="133"/>
      <c r="DQO29" s="133"/>
      <c r="DQP29" s="133"/>
      <c r="DQQ29" s="133"/>
      <c r="DQR29" s="133"/>
      <c r="DQS29" s="133"/>
      <c r="DQT29" s="133"/>
      <c r="DQU29" s="133"/>
      <c r="DQV29" s="133"/>
      <c r="DQW29" s="133"/>
      <c r="DQX29" s="133"/>
      <c r="DQY29" s="133"/>
      <c r="DQZ29" s="133"/>
      <c r="DRA29" s="133"/>
      <c r="DRB29" s="133"/>
      <c r="DRC29" s="133"/>
      <c r="DRD29" s="133"/>
      <c r="DRE29" s="133"/>
      <c r="DRF29" s="133"/>
      <c r="DRG29" s="133"/>
      <c r="DRH29" s="133"/>
      <c r="DRI29" s="133"/>
      <c r="DRJ29" s="133"/>
      <c r="DRK29" s="133"/>
      <c r="DRL29" s="133"/>
      <c r="DRM29" s="133"/>
      <c r="DRN29" s="133"/>
      <c r="DRO29" s="133"/>
      <c r="DRP29" s="133"/>
      <c r="DRQ29" s="133"/>
      <c r="DRR29" s="133"/>
      <c r="DRS29" s="133"/>
      <c r="DRT29" s="133"/>
      <c r="DRU29" s="133"/>
      <c r="DRV29" s="133"/>
      <c r="DRW29" s="133"/>
      <c r="DRX29" s="133"/>
      <c r="DRY29" s="133"/>
      <c r="DRZ29" s="133"/>
      <c r="DSA29" s="133"/>
      <c r="DSB29" s="133"/>
      <c r="DSC29" s="133"/>
      <c r="DSD29" s="133"/>
      <c r="DSE29" s="133"/>
      <c r="DSF29" s="133"/>
      <c r="DSG29" s="133"/>
      <c r="DSH29" s="133"/>
      <c r="DSI29" s="133"/>
      <c r="DSJ29" s="133"/>
      <c r="DSK29" s="133"/>
      <c r="DSL29" s="133"/>
      <c r="DSM29" s="133"/>
      <c r="DSN29" s="133"/>
      <c r="DSO29" s="133"/>
      <c r="DSP29" s="133"/>
      <c r="DSQ29" s="133"/>
      <c r="DSR29" s="133"/>
      <c r="DSS29" s="133"/>
      <c r="DST29" s="133"/>
      <c r="DSU29" s="133"/>
      <c r="DSV29" s="133"/>
      <c r="DSW29" s="133"/>
      <c r="DSX29" s="133"/>
      <c r="DSY29" s="133"/>
      <c r="DSZ29" s="133"/>
      <c r="DTA29" s="133"/>
      <c r="DTB29" s="133"/>
      <c r="DTC29" s="133"/>
      <c r="DTD29" s="133"/>
      <c r="DTE29" s="133"/>
      <c r="DTF29" s="133"/>
      <c r="DTG29" s="133"/>
      <c r="DTH29" s="133"/>
      <c r="DTI29" s="133"/>
      <c r="DTJ29" s="133"/>
      <c r="DTK29" s="133"/>
      <c r="DTL29" s="133"/>
      <c r="DTM29" s="133"/>
      <c r="DTN29" s="133"/>
      <c r="DTO29" s="133"/>
      <c r="DTP29" s="133"/>
      <c r="DTQ29" s="133"/>
      <c r="DTR29" s="133"/>
      <c r="DTS29" s="133"/>
      <c r="DTT29" s="133"/>
      <c r="DTU29" s="133"/>
      <c r="DTV29" s="133"/>
      <c r="DTW29" s="133"/>
      <c r="DTX29" s="133"/>
      <c r="DTY29" s="133"/>
      <c r="DTZ29" s="133"/>
      <c r="DUA29" s="133"/>
      <c r="DUB29" s="133"/>
      <c r="DUC29" s="133"/>
      <c r="DUD29" s="133"/>
      <c r="DUE29" s="133"/>
      <c r="DUF29" s="133"/>
      <c r="DUG29" s="133"/>
      <c r="DUH29" s="133"/>
      <c r="DUI29" s="133"/>
      <c r="DUJ29" s="133"/>
      <c r="DUK29" s="133"/>
      <c r="DUL29" s="133"/>
      <c r="DUM29" s="133"/>
      <c r="DUN29" s="133"/>
      <c r="DUO29" s="133"/>
      <c r="DUP29" s="133"/>
      <c r="DUQ29" s="133"/>
      <c r="DUR29" s="133"/>
      <c r="DUS29" s="133"/>
      <c r="DUT29" s="133"/>
      <c r="DUU29" s="133"/>
      <c r="DUV29" s="133"/>
      <c r="DUW29" s="133"/>
      <c r="DUX29" s="133"/>
      <c r="DUY29" s="133"/>
      <c r="DUZ29" s="133"/>
      <c r="DVA29" s="133"/>
      <c r="DVB29" s="133"/>
      <c r="DVC29" s="133"/>
      <c r="DVD29" s="133"/>
      <c r="DVE29" s="133"/>
      <c r="DVF29" s="133"/>
      <c r="DVG29" s="133"/>
      <c r="DVH29" s="133"/>
      <c r="DVI29" s="133"/>
      <c r="DVJ29" s="133"/>
      <c r="DVK29" s="133"/>
      <c r="DVL29" s="133"/>
      <c r="DVM29" s="133"/>
      <c r="DVN29" s="133"/>
      <c r="DVO29" s="133"/>
      <c r="DVP29" s="133"/>
      <c r="DVQ29" s="133"/>
      <c r="DVR29" s="133"/>
      <c r="DVS29" s="133"/>
      <c r="DVT29" s="133"/>
      <c r="DVU29" s="133"/>
      <c r="DVV29" s="133"/>
      <c r="DVW29" s="133"/>
      <c r="DVX29" s="133"/>
      <c r="DVY29" s="133"/>
      <c r="DVZ29" s="133"/>
      <c r="DWA29" s="133"/>
      <c r="DWB29" s="133"/>
      <c r="DWC29" s="133"/>
      <c r="DWD29" s="133"/>
      <c r="DWE29" s="133"/>
      <c r="DWF29" s="133"/>
      <c r="DWG29" s="133"/>
      <c r="DWH29" s="133"/>
      <c r="DWI29" s="133"/>
      <c r="DWJ29" s="133"/>
      <c r="DWK29" s="133"/>
      <c r="DWL29" s="133"/>
      <c r="DWM29" s="133"/>
      <c r="DWN29" s="133"/>
      <c r="DWO29" s="133"/>
      <c r="DWP29" s="133"/>
      <c r="DWQ29" s="133"/>
      <c r="DWR29" s="133"/>
      <c r="DWS29" s="133"/>
      <c r="DWT29" s="133"/>
      <c r="DWU29" s="133"/>
      <c r="DWV29" s="133"/>
      <c r="DWW29" s="133"/>
      <c r="DWX29" s="133"/>
      <c r="DWY29" s="133"/>
      <c r="DWZ29" s="133"/>
      <c r="DXA29" s="133"/>
      <c r="DXB29" s="133"/>
      <c r="DXC29" s="133"/>
      <c r="DXD29" s="133"/>
      <c r="DXE29" s="133"/>
      <c r="DXF29" s="133"/>
      <c r="DXG29" s="133"/>
      <c r="DXH29" s="133"/>
      <c r="DXI29" s="133"/>
      <c r="DXJ29" s="133"/>
      <c r="DXK29" s="133"/>
      <c r="DXL29" s="133"/>
      <c r="DXM29" s="133"/>
      <c r="DXN29" s="133"/>
      <c r="DXO29" s="133"/>
      <c r="DXP29" s="133"/>
      <c r="DXQ29" s="133"/>
      <c r="DXR29" s="133"/>
      <c r="DXS29" s="133"/>
      <c r="DXT29" s="133"/>
      <c r="DXU29" s="133"/>
      <c r="DXV29" s="133"/>
      <c r="DXW29" s="133"/>
      <c r="DXX29" s="133"/>
      <c r="DXY29" s="133"/>
      <c r="DXZ29" s="133"/>
      <c r="DYA29" s="133"/>
      <c r="DYB29" s="133"/>
      <c r="DYC29" s="133"/>
      <c r="DYD29" s="133"/>
      <c r="DYE29" s="133"/>
      <c r="DYF29" s="133"/>
      <c r="DYG29" s="133"/>
      <c r="DYH29" s="133"/>
      <c r="DYI29" s="133"/>
      <c r="DYJ29" s="133"/>
      <c r="DYK29" s="133"/>
      <c r="DYL29" s="133"/>
      <c r="DYM29" s="133"/>
      <c r="DYN29" s="133"/>
      <c r="DYO29" s="133"/>
      <c r="DYP29" s="133"/>
      <c r="DYQ29" s="133"/>
      <c r="DYR29" s="133"/>
      <c r="DYS29" s="133"/>
      <c r="DYT29" s="133"/>
      <c r="DYU29" s="133"/>
      <c r="DYV29" s="133"/>
      <c r="DYW29" s="133"/>
      <c r="DYX29" s="133"/>
      <c r="DYY29" s="133"/>
      <c r="DYZ29" s="133"/>
      <c r="DZA29" s="133"/>
      <c r="DZB29" s="133"/>
      <c r="DZC29" s="133"/>
      <c r="DZD29" s="133"/>
      <c r="DZE29" s="133"/>
      <c r="DZF29" s="133"/>
      <c r="DZG29" s="133"/>
      <c r="DZH29" s="133"/>
      <c r="DZI29" s="133"/>
      <c r="DZJ29" s="133"/>
      <c r="DZK29" s="133"/>
      <c r="DZL29" s="133"/>
      <c r="DZM29" s="133"/>
      <c r="DZN29" s="133"/>
      <c r="DZO29" s="133"/>
      <c r="DZP29" s="133"/>
      <c r="DZQ29" s="133"/>
      <c r="DZR29" s="133"/>
      <c r="DZS29" s="133"/>
      <c r="DZT29" s="133"/>
      <c r="DZU29" s="133"/>
      <c r="DZV29" s="133"/>
      <c r="DZW29" s="133"/>
      <c r="DZX29" s="133"/>
      <c r="DZY29" s="133"/>
      <c r="DZZ29" s="133"/>
      <c r="EAA29" s="133"/>
      <c r="EAB29" s="133"/>
      <c r="EAC29" s="133"/>
      <c r="EAD29" s="133"/>
      <c r="EAE29" s="133"/>
      <c r="EAF29" s="133"/>
      <c r="EAG29" s="133"/>
      <c r="EAH29" s="133"/>
      <c r="EAI29" s="133"/>
      <c r="EAJ29" s="133"/>
      <c r="EAK29" s="133"/>
      <c r="EAL29" s="133"/>
      <c r="EAM29" s="133"/>
      <c r="EAN29" s="133"/>
      <c r="EAO29" s="133"/>
      <c r="EAP29" s="133"/>
      <c r="EAQ29" s="133"/>
      <c r="EAR29" s="133"/>
      <c r="EAS29" s="133"/>
      <c r="EAT29" s="133"/>
      <c r="EAU29" s="133"/>
      <c r="EAV29" s="133"/>
      <c r="EAW29" s="133"/>
      <c r="EAX29" s="133"/>
      <c r="EAY29" s="133"/>
      <c r="EAZ29" s="133"/>
      <c r="EBA29" s="133"/>
      <c r="EBB29" s="133"/>
      <c r="EBC29" s="133"/>
      <c r="EBD29" s="133"/>
      <c r="EBE29" s="133"/>
      <c r="EBF29" s="133"/>
      <c r="EBG29" s="133"/>
      <c r="EBH29" s="133"/>
      <c r="EBI29" s="133"/>
      <c r="EBJ29" s="133"/>
      <c r="EBK29" s="133"/>
      <c r="EBL29" s="133"/>
      <c r="EBM29" s="133"/>
      <c r="EBN29" s="133"/>
      <c r="EBO29" s="133"/>
      <c r="EBP29" s="133"/>
      <c r="EBQ29" s="133"/>
      <c r="EBR29" s="133"/>
      <c r="EBS29" s="133"/>
      <c r="EBT29" s="133"/>
      <c r="EBU29" s="133"/>
      <c r="EBV29" s="133"/>
      <c r="EBW29" s="133"/>
      <c r="EBX29" s="133"/>
      <c r="EBY29" s="133"/>
      <c r="EBZ29" s="133"/>
      <c r="ECA29" s="133"/>
      <c r="ECB29" s="133"/>
      <c r="ECC29" s="133"/>
      <c r="ECD29" s="133"/>
      <c r="ECE29" s="133"/>
      <c r="ECF29" s="133"/>
      <c r="ECG29" s="133"/>
      <c r="ECH29" s="133"/>
      <c r="ECI29" s="133"/>
      <c r="ECJ29" s="133"/>
      <c r="ECK29" s="133"/>
      <c r="ECL29" s="133"/>
      <c r="ECM29" s="133"/>
      <c r="ECN29" s="133"/>
      <c r="ECO29" s="133"/>
      <c r="ECP29" s="133"/>
      <c r="ECQ29" s="133"/>
      <c r="ECR29" s="133"/>
      <c r="ECS29" s="133"/>
      <c r="ECT29" s="133"/>
      <c r="ECU29" s="133"/>
      <c r="ECV29" s="133"/>
      <c r="ECW29" s="133"/>
      <c r="ECX29" s="133"/>
      <c r="ECY29" s="133"/>
      <c r="ECZ29" s="133"/>
      <c r="EDA29" s="133"/>
      <c r="EDB29" s="133"/>
      <c r="EDC29" s="133"/>
      <c r="EDD29" s="133"/>
      <c r="EDE29" s="133"/>
      <c r="EDF29" s="133"/>
      <c r="EDG29" s="133"/>
      <c r="EDH29" s="133"/>
      <c r="EDI29" s="133"/>
      <c r="EDJ29" s="133"/>
      <c r="EDK29" s="133"/>
      <c r="EDL29" s="133"/>
      <c r="EDM29" s="133"/>
      <c r="EDN29" s="133"/>
      <c r="EDO29" s="133"/>
      <c r="EDP29" s="133"/>
      <c r="EDQ29" s="133"/>
      <c r="EDR29" s="133"/>
      <c r="EDS29" s="133"/>
      <c r="EDT29" s="133"/>
      <c r="EDU29" s="133"/>
      <c r="EDV29" s="133"/>
      <c r="EDW29" s="133"/>
      <c r="EDX29" s="133"/>
      <c r="EDY29" s="133"/>
      <c r="EDZ29" s="133"/>
      <c r="EEA29" s="133"/>
      <c r="EEB29" s="133"/>
      <c r="EEC29" s="133"/>
      <c r="EED29" s="133"/>
      <c r="EEE29" s="133"/>
      <c r="EEF29" s="133"/>
      <c r="EEG29" s="133"/>
      <c r="EEH29" s="133"/>
      <c r="EEI29" s="133"/>
      <c r="EEJ29" s="133"/>
      <c r="EEK29" s="133"/>
      <c r="EEL29" s="133"/>
      <c r="EEM29" s="133"/>
      <c r="EEN29" s="133"/>
      <c r="EEO29" s="133"/>
      <c r="EEP29" s="133"/>
      <c r="EEQ29" s="133"/>
      <c r="EER29" s="133"/>
      <c r="EES29" s="133"/>
      <c r="EET29" s="133"/>
      <c r="EEU29" s="133"/>
      <c r="EEV29" s="133"/>
      <c r="EEW29" s="133"/>
      <c r="EEX29" s="133"/>
      <c r="EEY29" s="133"/>
      <c r="EEZ29" s="133"/>
      <c r="EFA29" s="133"/>
      <c r="EFB29" s="133"/>
      <c r="EFC29" s="133"/>
      <c r="EFD29" s="133"/>
      <c r="EFE29" s="133"/>
      <c r="EFF29" s="133"/>
      <c r="EFG29" s="133"/>
      <c r="EFH29" s="133"/>
      <c r="EFI29" s="133"/>
      <c r="EFJ29" s="133"/>
      <c r="EFK29" s="133"/>
      <c r="EFL29" s="133"/>
      <c r="EFM29" s="133"/>
      <c r="EFN29" s="133"/>
      <c r="EFO29" s="133"/>
      <c r="EFP29" s="133"/>
      <c r="EFQ29" s="133"/>
      <c r="EFR29" s="133"/>
      <c r="EFS29" s="133"/>
      <c r="EFT29" s="133"/>
      <c r="EFU29" s="133"/>
      <c r="EFV29" s="133"/>
      <c r="EFW29" s="133"/>
      <c r="EFX29" s="133"/>
      <c r="EFY29" s="133"/>
      <c r="EFZ29" s="133"/>
      <c r="EGA29" s="133"/>
      <c r="EGB29" s="133"/>
      <c r="EGC29" s="133"/>
      <c r="EGD29" s="133"/>
      <c r="EGE29" s="133"/>
      <c r="EGF29" s="133"/>
      <c r="EGG29" s="133"/>
      <c r="EGH29" s="133"/>
      <c r="EGI29" s="133"/>
      <c r="EGJ29" s="133"/>
      <c r="EGK29" s="133"/>
      <c r="EGL29" s="133"/>
      <c r="EGM29" s="133"/>
      <c r="EGN29" s="133"/>
      <c r="EGO29" s="133"/>
      <c r="EGP29" s="133"/>
      <c r="EGQ29" s="133"/>
      <c r="EGR29" s="133"/>
      <c r="EGS29" s="133"/>
      <c r="EGT29" s="133"/>
      <c r="EGU29" s="133"/>
      <c r="EGV29" s="133"/>
      <c r="EGW29" s="133"/>
      <c r="EGX29" s="133"/>
      <c r="EGY29" s="133"/>
      <c r="EGZ29" s="133"/>
      <c r="EHA29" s="133"/>
      <c r="EHB29" s="133"/>
      <c r="EHC29" s="133"/>
      <c r="EHD29" s="133"/>
      <c r="EHE29" s="133"/>
      <c r="EHF29" s="133"/>
      <c r="EHG29" s="133"/>
      <c r="EHH29" s="133"/>
      <c r="EHI29" s="133"/>
      <c r="EHJ29" s="133"/>
      <c r="EHK29" s="133"/>
      <c r="EHL29" s="133"/>
      <c r="EHM29" s="133"/>
      <c r="EHN29" s="133"/>
      <c r="EHO29" s="133"/>
      <c r="EHP29" s="133"/>
      <c r="EHQ29" s="133"/>
      <c r="EHR29" s="133"/>
      <c r="EHS29" s="133"/>
      <c r="EHT29" s="133"/>
      <c r="EHU29" s="133"/>
      <c r="EHV29" s="133"/>
      <c r="EHW29" s="133"/>
      <c r="EHX29" s="133"/>
      <c r="EHY29" s="133"/>
      <c r="EHZ29" s="133"/>
      <c r="EIA29" s="133"/>
      <c r="EIB29" s="133"/>
      <c r="EIC29" s="133"/>
      <c r="EID29" s="133"/>
      <c r="EIE29" s="133"/>
      <c r="EIF29" s="133"/>
      <c r="EIG29" s="133"/>
      <c r="EIH29" s="133"/>
      <c r="EII29" s="133"/>
      <c r="EIJ29" s="133"/>
      <c r="EIK29" s="133"/>
      <c r="EIL29" s="133"/>
      <c r="EIM29" s="133"/>
      <c r="EIN29" s="133"/>
      <c r="EIO29" s="133"/>
      <c r="EIP29" s="133"/>
      <c r="EIQ29" s="133"/>
      <c r="EIR29" s="133"/>
      <c r="EIS29" s="133"/>
      <c r="EIT29" s="133"/>
      <c r="EIU29" s="133"/>
      <c r="EIV29" s="133"/>
      <c r="EIW29" s="133"/>
      <c r="EIX29" s="133"/>
      <c r="EIY29" s="133"/>
      <c r="EIZ29" s="133"/>
      <c r="EJA29" s="133"/>
      <c r="EJB29" s="133"/>
      <c r="EJC29" s="133"/>
      <c r="EJD29" s="133"/>
      <c r="EJE29" s="133"/>
      <c r="EJF29" s="133"/>
      <c r="EJG29" s="133"/>
      <c r="EJH29" s="133"/>
      <c r="EJI29" s="133"/>
      <c r="EJJ29" s="133"/>
      <c r="EJK29" s="133"/>
      <c r="EJL29" s="133"/>
      <c r="EJM29" s="133"/>
      <c r="EJN29" s="133"/>
      <c r="EJO29" s="133"/>
      <c r="EJP29" s="133"/>
      <c r="EJQ29" s="133"/>
      <c r="EJR29" s="133"/>
      <c r="EJS29" s="133"/>
      <c r="EJT29" s="133"/>
      <c r="EJU29" s="133"/>
      <c r="EJV29" s="133"/>
      <c r="EJW29" s="133"/>
      <c r="EJX29" s="133"/>
      <c r="EJY29" s="133"/>
      <c r="EJZ29" s="133"/>
      <c r="EKA29" s="133"/>
      <c r="EKB29" s="133"/>
      <c r="EKC29" s="133"/>
      <c r="EKD29" s="133"/>
      <c r="EKE29" s="133"/>
      <c r="EKF29" s="133"/>
      <c r="EKG29" s="133"/>
      <c r="EKH29" s="133"/>
      <c r="EKI29" s="133"/>
      <c r="EKJ29" s="133"/>
      <c r="EKK29" s="133"/>
      <c r="EKL29" s="133"/>
      <c r="EKM29" s="133"/>
      <c r="EKN29" s="133"/>
      <c r="EKO29" s="133"/>
      <c r="EKP29" s="133"/>
      <c r="EKQ29" s="133"/>
      <c r="EKR29" s="133"/>
      <c r="EKS29" s="133"/>
      <c r="EKT29" s="133"/>
      <c r="EKU29" s="133"/>
      <c r="EKV29" s="133"/>
      <c r="EKW29" s="133"/>
      <c r="EKX29" s="133"/>
      <c r="EKY29" s="133"/>
      <c r="EKZ29" s="133"/>
      <c r="ELA29" s="133"/>
      <c r="ELB29" s="133"/>
      <c r="ELC29" s="133"/>
      <c r="ELD29" s="133"/>
      <c r="ELE29" s="133"/>
      <c r="ELF29" s="133"/>
      <c r="ELG29" s="133"/>
      <c r="ELH29" s="133"/>
      <c r="ELI29" s="133"/>
      <c r="ELJ29" s="133"/>
      <c r="ELK29" s="133"/>
      <c r="ELL29" s="133"/>
      <c r="ELM29" s="133"/>
      <c r="ELN29" s="133"/>
      <c r="ELO29" s="133"/>
      <c r="ELP29" s="133"/>
      <c r="ELQ29" s="133"/>
      <c r="ELR29" s="133"/>
      <c r="ELS29" s="133"/>
      <c r="ELT29" s="133"/>
      <c r="ELU29" s="133"/>
      <c r="ELV29" s="133"/>
      <c r="ELW29" s="133"/>
      <c r="ELX29" s="133"/>
      <c r="ELY29" s="133"/>
      <c r="ELZ29" s="133"/>
      <c r="EMA29" s="133"/>
      <c r="EMB29" s="133"/>
      <c r="EMC29" s="133"/>
      <c r="EMD29" s="133"/>
      <c r="EME29" s="133"/>
      <c r="EMF29" s="133"/>
      <c r="EMG29" s="133"/>
      <c r="EMH29" s="133"/>
      <c r="EMI29" s="133"/>
      <c r="EMJ29" s="133"/>
      <c r="EMK29" s="133"/>
      <c r="EML29" s="133"/>
      <c r="EMM29" s="133"/>
      <c r="EMN29" s="133"/>
      <c r="EMO29" s="133"/>
      <c r="EMP29" s="133"/>
      <c r="EMQ29" s="133"/>
      <c r="EMR29" s="133"/>
      <c r="EMS29" s="133"/>
      <c r="EMT29" s="133"/>
      <c r="EMU29" s="133"/>
      <c r="EMV29" s="133"/>
      <c r="EMW29" s="133"/>
      <c r="EMX29" s="133"/>
      <c r="EMY29" s="133"/>
      <c r="EMZ29" s="133"/>
      <c r="ENA29" s="133"/>
      <c r="ENB29" s="133"/>
      <c r="ENC29" s="133"/>
      <c r="END29" s="133"/>
      <c r="ENE29" s="133"/>
      <c r="ENF29" s="133"/>
      <c r="ENG29" s="133"/>
      <c r="ENH29" s="133"/>
      <c r="ENI29" s="133"/>
      <c r="ENJ29" s="133"/>
      <c r="ENK29" s="133"/>
      <c r="ENL29" s="133"/>
      <c r="ENM29" s="133"/>
      <c r="ENN29" s="133"/>
      <c r="ENO29" s="133"/>
      <c r="ENP29" s="133"/>
      <c r="ENQ29" s="133"/>
      <c r="ENR29" s="133"/>
      <c r="ENS29" s="133"/>
      <c r="ENT29" s="133"/>
      <c r="ENU29" s="133"/>
      <c r="ENV29" s="133"/>
      <c r="ENW29" s="133"/>
      <c r="ENX29" s="133"/>
      <c r="ENY29" s="133"/>
      <c r="ENZ29" s="133"/>
      <c r="EOA29" s="133"/>
      <c r="EOB29" s="133"/>
      <c r="EOC29" s="133"/>
      <c r="EOD29" s="133"/>
      <c r="EOE29" s="133"/>
      <c r="EOF29" s="133"/>
      <c r="EOG29" s="133"/>
      <c r="EOH29" s="133"/>
      <c r="EOI29" s="133"/>
      <c r="EOJ29" s="133"/>
      <c r="EOK29" s="133"/>
      <c r="EOL29" s="133"/>
      <c r="EOM29" s="133"/>
      <c r="EON29" s="133"/>
      <c r="EOO29" s="133"/>
      <c r="EOP29" s="133"/>
      <c r="EOQ29" s="133"/>
      <c r="EOR29" s="133"/>
      <c r="EOS29" s="133"/>
      <c r="EOT29" s="133"/>
      <c r="EOU29" s="133"/>
      <c r="EOV29" s="133"/>
      <c r="EOW29" s="133"/>
      <c r="EOX29" s="133"/>
      <c r="EOY29" s="133"/>
      <c r="EOZ29" s="133"/>
      <c r="EPA29" s="133"/>
      <c r="EPB29" s="133"/>
      <c r="EPC29" s="133"/>
      <c r="EPD29" s="133"/>
      <c r="EPE29" s="133"/>
      <c r="EPF29" s="133"/>
      <c r="EPG29" s="133"/>
      <c r="EPH29" s="133"/>
      <c r="EPI29" s="133"/>
      <c r="EPJ29" s="133"/>
      <c r="EPK29" s="133"/>
      <c r="EPL29" s="133"/>
      <c r="EPM29" s="133"/>
      <c r="EPN29" s="133"/>
      <c r="EPO29" s="133"/>
      <c r="EPP29" s="133"/>
      <c r="EPQ29" s="133"/>
      <c r="EPR29" s="133"/>
      <c r="EPS29" s="133"/>
      <c r="EPT29" s="133"/>
      <c r="EPU29" s="133"/>
      <c r="EPV29" s="133"/>
      <c r="EPW29" s="133"/>
      <c r="EPX29" s="133"/>
      <c r="EPY29" s="133"/>
      <c r="EPZ29" s="133"/>
      <c r="EQA29" s="133"/>
      <c r="EQB29" s="133"/>
      <c r="EQC29" s="133"/>
      <c r="EQD29" s="133"/>
      <c r="EQE29" s="133"/>
      <c r="EQF29" s="133"/>
      <c r="EQG29" s="133"/>
      <c r="EQH29" s="133"/>
      <c r="EQI29" s="133"/>
      <c r="EQJ29" s="133"/>
      <c r="EQK29" s="133"/>
      <c r="EQL29" s="133"/>
      <c r="EQM29" s="133"/>
      <c r="EQN29" s="133"/>
      <c r="EQO29" s="133"/>
      <c r="EQP29" s="133"/>
      <c r="EQQ29" s="133"/>
      <c r="EQR29" s="133"/>
      <c r="EQS29" s="133"/>
      <c r="EQT29" s="133"/>
      <c r="EQU29" s="133"/>
      <c r="EQV29" s="133"/>
      <c r="EQW29" s="133"/>
      <c r="EQX29" s="133"/>
      <c r="EQY29" s="133"/>
      <c r="EQZ29" s="133"/>
      <c r="ERA29" s="133"/>
      <c r="ERB29" s="133"/>
      <c r="ERC29" s="133"/>
      <c r="ERD29" s="133"/>
      <c r="ERE29" s="133"/>
      <c r="ERF29" s="133"/>
      <c r="ERG29" s="133"/>
      <c r="ERH29" s="133"/>
      <c r="ERI29" s="133"/>
      <c r="ERJ29" s="133"/>
      <c r="ERK29" s="133"/>
      <c r="ERL29" s="133"/>
      <c r="ERM29" s="133"/>
      <c r="ERN29" s="133"/>
      <c r="ERO29" s="133"/>
      <c r="ERP29" s="133"/>
      <c r="ERQ29" s="133"/>
      <c r="ERR29" s="133"/>
      <c r="ERS29" s="133"/>
      <c r="ERT29" s="133"/>
      <c r="ERU29" s="133"/>
      <c r="ERV29" s="133"/>
      <c r="ERW29" s="133"/>
      <c r="ERX29" s="133"/>
      <c r="ERY29" s="133"/>
      <c r="ERZ29" s="133"/>
      <c r="ESA29" s="133"/>
      <c r="ESB29" s="133"/>
      <c r="ESC29" s="133"/>
      <c r="ESD29" s="133"/>
      <c r="ESE29" s="133"/>
      <c r="ESF29" s="133"/>
      <c r="ESG29" s="133"/>
      <c r="ESH29" s="133"/>
      <c r="ESI29" s="133"/>
      <c r="ESJ29" s="133"/>
      <c r="ESK29" s="133"/>
      <c r="ESL29" s="133"/>
      <c r="ESM29" s="133"/>
      <c r="ESN29" s="133"/>
      <c r="ESO29" s="133"/>
      <c r="ESP29" s="133"/>
      <c r="ESQ29" s="133"/>
      <c r="ESR29" s="133"/>
      <c r="ESS29" s="133"/>
      <c r="EST29" s="133"/>
      <c r="ESU29" s="133"/>
      <c r="ESV29" s="133"/>
      <c r="ESW29" s="133"/>
      <c r="ESX29" s="133"/>
      <c r="ESY29" s="133"/>
      <c r="ESZ29" s="133"/>
      <c r="ETA29" s="133"/>
      <c r="ETB29" s="133"/>
      <c r="ETC29" s="133"/>
      <c r="ETD29" s="133"/>
      <c r="ETE29" s="133"/>
      <c r="ETF29" s="133"/>
      <c r="ETG29" s="133"/>
      <c r="ETH29" s="133"/>
      <c r="ETI29" s="133"/>
      <c r="ETJ29" s="133"/>
      <c r="ETK29" s="133"/>
      <c r="ETL29" s="133"/>
      <c r="ETM29" s="133"/>
      <c r="ETN29" s="133"/>
      <c r="ETO29" s="133"/>
      <c r="ETP29" s="133"/>
      <c r="ETQ29" s="133"/>
      <c r="ETR29" s="133"/>
      <c r="ETS29" s="133"/>
      <c r="ETT29" s="133"/>
      <c r="ETU29" s="133"/>
      <c r="ETV29" s="133"/>
      <c r="ETW29" s="133"/>
      <c r="ETX29" s="133"/>
      <c r="ETY29" s="133"/>
      <c r="ETZ29" s="133"/>
      <c r="EUA29" s="133"/>
      <c r="EUB29" s="133"/>
      <c r="EUC29" s="133"/>
      <c r="EUD29" s="133"/>
      <c r="EUE29" s="133"/>
      <c r="EUF29" s="133"/>
      <c r="EUG29" s="133"/>
      <c r="EUH29" s="133"/>
      <c r="EUI29" s="133"/>
      <c r="EUJ29" s="133"/>
      <c r="EUK29" s="133"/>
      <c r="EUL29" s="133"/>
      <c r="EUM29" s="133"/>
      <c r="EUN29" s="133"/>
      <c r="EUO29" s="133"/>
      <c r="EUP29" s="133"/>
      <c r="EUQ29" s="133"/>
      <c r="EUR29" s="133"/>
      <c r="EUS29" s="133"/>
      <c r="EUT29" s="133"/>
      <c r="EUU29" s="133"/>
      <c r="EUV29" s="133"/>
      <c r="EUW29" s="133"/>
      <c r="EUX29" s="133"/>
      <c r="EUY29" s="133"/>
      <c r="EUZ29" s="133"/>
      <c r="EVA29" s="133"/>
      <c r="EVB29" s="133"/>
      <c r="EVC29" s="133"/>
      <c r="EVD29" s="133"/>
      <c r="EVE29" s="133"/>
      <c r="EVF29" s="133"/>
      <c r="EVG29" s="133"/>
      <c r="EVH29" s="133"/>
      <c r="EVI29" s="133"/>
      <c r="EVJ29" s="133"/>
      <c r="EVK29" s="133"/>
      <c r="EVL29" s="133"/>
      <c r="EVM29" s="133"/>
      <c r="EVN29" s="133"/>
      <c r="EVO29" s="133"/>
      <c r="EVP29" s="133"/>
      <c r="EVQ29" s="133"/>
      <c r="EVR29" s="133"/>
      <c r="EVS29" s="133"/>
      <c r="EVT29" s="133"/>
      <c r="EVU29" s="133"/>
      <c r="EVV29" s="133"/>
      <c r="EVW29" s="133"/>
      <c r="EVX29" s="133"/>
      <c r="EVY29" s="133"/>
      <c r="EVZ29" s="133"/>
      <c r="EWA29" s="133"/>
      <c r="EWB29" s="133"/>
      <c r="EWC29" s="133"/>
      <c r="EWD29" s="133"/>
      <c r="EWE29" s="133"/>
      <c r="EWF29" s="133"/>
      <c r="EWG29" s="133"/>
      <c r="EWH29" s="133"/>
      <c r="EWI29" s="133"/>
      <c r="EWJ29" s="133"/>
      <c r="EWK29" s="133"/>
      <c r="EWL29" s="133"/>
      <c r="EWM29" s="133"/>
      <c r="EWN29" s="133"/>
      <c r="EWO29" s="133"/>
      <c r="EWP29" s="133"/>
      <c r="EWQ29" s="133"/>
      <c r="EWR29" s="133"/>
      <c r="EWS29" s="133"/>
      <c r="EWT29" s="133"/>
      <c r="EWU29" s="133"/>
      <c r="EWV29" s="133"/>
      <c r="EWW29" s="133"/>
      <c r="EWX29" s="133"/>
      <c r="EWY29" s="133"/>
      <c r="EWZ29" s="133"/>
      <c r="EXA29" s="133"/>
      <c r="EXB29" s="133"/>
      <c r="EXC29" s="133"/>
      <c r="EXD29" s="133"/>
      <c r="EXE29" s="133"/>
      <c r="EXF29" s="133"/>
      <c r="EXG29" s="133"/>
      <c r="EXH29" s="133"/>
      <c r="EXI29" s="133"/>
      <c r="EXJ29" s="133"/>
      <c r="EXK29" s="133"/>
      <c r="EXL29" s="133"/>
      <c r="EXM29" s="133"/>
      <c r="EXN29" s="133"/>
      <c r="EXO29" s="133"/>
      <c r="EXP29" s="133"/>
      <c r="EXQ29" s="133"/>
      <c r="EXR29" s="133"/>
      <c r="EXS29" s="133"/>
      <c r="EXT29" s="133"/>
      <c r="EXU29" s="133"/>
      <c r="EXV29" s="133"/>
      <c r="EXW29" s="133"/>
      <c r="EXX29" s="133"/>
      <c r="EXY29" s="133"/>
      <c r="EXZ29" s="133"/>
      <c r="EYA29" s="133"/>
      <c r="EYB29" s="133"/>
      <c r="EYC29" s="133"/>
      <c r="EYD29" s="133"/>
      <c r="EYE29" s="133"/>
      <c r="EYF29" s="133"/>
      <c r="EYG29" s="133"/>
      <c r="EYH29" s="133"/>
      <c r="EYI29" s="133"/>
      <c r="EYJ29" s="133"/>
      <c r="EYK29" s="133"/>
      <c r="EYL29" s="133"/>
      <c r="EYM29" s="133"/>
      <c r="EYN29" s="133"/>
      <c r="EYO29" s="133"/>
      <c r="EYP29" s="133"/>
      <c r="EYQ29" s="133"/>
      <c r="EYR29" s="133"/>
      <c r="EYS29" s="133"/>
      <c r="EYT29" s="133"/>
      <c r="EYU29" s="133"/>
      <c r="EYV29" s="133"/>
      <c r="EYW29" s="133"/>
      <c r="EYX29" s="133"/>
      <c r="EYY29" s="133"/>
      <c r="EYZ29" s="133"/>
      <c r="EZA29" s="133"/>
      <c r="EZB29" s="133"/>
      <c r="EZC29" s="133"/>
      <c r="EZD29" s="133"/>
      <c r="EZE29" s="133"/>
      <c r="EZF29" s="133"/>
      <c r="EZG29" s="133"/>
      <c r="EZH29" s="133"/>
      <c r="EZI29" s="133"/>
      <c r="EZJ29" s="133"/>
      <c r="EZK29" s="133"/>
      <c r="EZL29" s="133"/>
      <c r="EZM29" s="133"/>
      <c r="EZN29" s="133"/>
      <c r="EZO29" s="133"/>
      <c r="EZP29" s="133"/>
      <c r="EZQ29" s="133"/>
      <c r="EZR29" s="133"/>
      <c r="EZS29" s="133"/>
      <c r="EZT29" s="133"/>
      <c r="EZU29" s="133"/>
      <c r="EZV29" s="133"/>
      <c r="EZW29" s="133"/>
      <c r="EZX29" s="133"/>
      <c r="EZY29" s="133"/>
      <c r="EZZ29" s="133"/>
      <c r="FAA29" s="133"/>
      <c r="FAB29" s="133"/>
      <c r="FAC29" s="133"/>
      <c r="FAD29" s="133"/>
      <c r="FAE29" s="133"/>
      <c r="FAF29" s="133"/>
      <c r="FAG29" s="133"/>
      <c r="FAH29" s="133"/>
      <c r="FAI29" s="133"/>
      <c r="FAJ29" s="133"/>
      <c r="FAK29" s="133"/>
      <c r="FAL29" s="133"/>
      <c r="FAM29" s="133"/>
      <c r="FAN29" s="133"/>
      <c r="FAO29" s="133"/>
      <c r="FAP29" s="133"/>
      <c r="FAQ29" s="133"/>
      <c r="FAR29" s="133"/>
      <c r="FAS29" s="133"/>
      <c r="FAT29" s="133"/>
      <c r="FAU29" s="133"/>
      <c r="FAV29" s="133"/>
      <c r="FAW29" s="133"/>
      <c r="FAX29" s="133"/>
      <c r="FAY29" s="133"/>
      <c r="FAZ29" s="133"/>
      <c r="FBA29" s="133"/>
      <c r="FBB29" s="133"/>
      <c r="FBC29" s="133"/>
      <c r="FBD29" s="133"/>
      <c r="FBE29" s="133"/>
      <c r="FBF29" s="133"/>
      <c r="FBG29" s="133"/>
      <c r="FBH29" s="133"/>
      <c r="FBI29" s="133"/>
      <c r="FBJ29" s="133"/>
      <c r="FBK29" s="133"/>
      <c r="FBL29" s="133"/>
      <c r="FBM29" s="133"/>
      <c r="FBN29" s="133"/>
      <c r="FBO29" s="133"/>
      <c r="FBP29" s="133"/>
      <c r="FBQ29" s="133"/>
      <c r="FBR29" s="133"/>
      <c r="FBS29" s="133"/>
      <c r="FBT29" s="133"/>
      <c r="FBU29" s="133"/>
      <c r="FBV29" s="133"/>
      <c r="FBW29" s="133"/>
      <c r="FBX29" s="133"/>
      <c r="FBY29" s="133"/>
      <c r="FBZ29" s="133"/>
      <c r="FCA29" s="133"/>
      <c r="FCB29" s="133"/>
      <c r="FCC29" s="133"/>
      <c r="FCD29" s="133"/>
      <c r="FCE29" s="133"/>
      <c r="FCF29" s="133"/>
      <c r="FCG29" s="133"/>
      <c r="FCH29" s="133"/>
      <c r="FCI29" s="133"/>
      <c r="FCJ29" s="133"/>
      <c r="FCK29" s="133"/>
      <c r="FCL29" s="133"/>
      <c r="FCM29" s="133"/>
      <c r="FCN29" s="133"/>
      <c r="FCO29" s="133"/>
      <c r="FCP29" s="133"/>
      <c r="FCQ29" s="133"/>
      <c r="FCR29" s="133"/>
      <c r="FCS29" s="133"/>
      <c r="FCT29" s="133"/>
      <c r="FCU29" s="133"/>
      <c r="FCV29" s="133"/>
      <c r="FCW29" s="133"/>
      <c r="FCX29" s="133"/>
      <c r="FCY29" s="133"/>
      <c r="FCZ29" s="133"/>
      <c r="FDA29" s="133"/>
      <c r="FDB29" s="133"/>
      <c r="FDC29" s="133"/>
      <c r="FDD29" s="133"/>
      <c r="FDE29" s="133"/>
      <c r="FDF29" s="133"/>
      <c r="FDG29" s="133"/>
      <c r="FDH29" s="133"/>
      <c r="FDI29" s="133"/>
      <c r="FDJ29" s="133"/>
      <c r="FDK29" s="133"/>
      <c r="FDL29" s="133"/>
      <c r="FDM29" s="133"/>
      <c r="FDN29" s="133"/>
      <c r="FDO29" s="133"/>
      <c r="FDP29" s="133"/>
      <c r="FDQ29" s="133"/>
      <c r="FDR29" s="133"/>
      <c r="FDS29" s="133"/>
      <c r="FDT29" s="133"/>
      <c r="FDU29" s="133"/>
      <c r="FDV29" s="133"/>
      <c r="FDW29" s="133"/>
      <c r="FDX29" s="133"/>
      <c r="FDY29" s="133"/>
      <c r="FDZ29" s="133"/>
      <c r="FEA29" s="133"/>
      <c r="FEB29" s="133"/>
      <c r="FEC29" s="133"/>
      <c r="FED29" s="133"/>
      <c r="FEE29" s="133"/>
      <c r="FEF29" s="133"/>
      <c r="FEG29" s="133"/>
      <c r="FEH29" s="133"/>
      <c r="FEI29" s="133"/>
      <c r="FEJ29" s="133"/>
      <c r="FEK29" s="133"/>
      <c r="FEL29" s="133"/>
      <c r="FEM29" s="133"/>
      <c r="FEN29" s="133"/>
      <c r="FEO29" s="133"/>
      <c r="FEP29" s="133"/>
      <c r="FEQ29" s="133"/>
      <c r="FER29" s="133"/>
      <c r="FES29" s="133"/>
      <c r="FET29" s="133"/>
      <c r="FEU29" s="133"/>
      <c r="FEV29" s="133"/>
      <c r="FEW29" s="133"/>
      <c r="FEX29" s="133"/>
      <c r="FEY29" s="133"/>
      <c r="FEZ29" s="133"/>
      <c r="FFA29" s="133"/>
      <c r="FFB29" s="133"/>
      <c r="FFC29" s="133"/>
      <c r="FFD29" s="133"/>
      <c r="FFE29" s="133"/>
      <c r="FFF29" s="133"/>
      <c r="FFG29" s="133"/>
      <c r="FFH29" s="133"/>
      <c r="FFI29" s="133"/>
      <c r="FFJ29" s="133"/>
      <c r="FFK29" s="133"/>
      <c r="FFL29" s="133"/>
      <c r="FFM29" s="133"/>
      <c r="FFN29" s="133"/>
      <c r="FFO29" s="133"/>
      <c r="FFP29" s="133"/>
      <c r="FFQ29" s="133"/>
      <c r="FFR29" s="133"/>
      <c r="FFS29" s="133"/>
      <c r="FFT29" s="133"/>
      <c r="FFU29" s="133"/>
      <c r="FFV29" s="133"/>
      <c r="FFW29" s="133"/>
      <c r="FFX29" s="133"/>
      <c r="FFY29" s="133"/>
      <c r="FFZ29" s="133"/>
      <c r="FGA29" s="133"/>
      <c r="FGB29" s="133"/>
      <c r="FGC29" s="133"/>
      <c r="FGD29" s="133"/>
      <c r="FGE29" s="133"/>
      <c r="FGF29" s="133"/>
      <c r="FGG29" s="133"/>
      <c r="FGH29" s="133"/>
      <c r="FGI29" s="133"/>
      <c r="FGJ29" s="133"/>
      <c r="FGK29" s="133"/>
      <c r="FGL29" s="133"/>
      <c r="FGM29" s="133"/>
      <c r="FGN29" s="133"/>
      <c r="FGO29" s="133"/>
      <c r="FGP29" s="133"/>
      <c r="FGQ29" s="133"/>
      <c r="FGR29" s="133"/>
      <c r="FGS29" s="133"/>
      <c r="FGT29" s="133"/>
      <c r="FGU29" s="133"/>
      <c r="FGV29" s="133"/>
      <c r="FGW29" s="133"/>
      <c r="FGX29" s="133"/>
      <c r="FGY29" s="133"/>
      <c r="FGZ29" s="133"/>
      <c r="FHA29" s="133"/>
      <c r="FHB29" s="133"/>
      <c r="FHC29" s="133"/>
      <c r="FHD29" s="133"/>
      <c r="FHE29" s="133"/>
      <c r="FHF29" s="133"/>
      <c r="FHG29" s="133"/>
      <c r="FHH29" s="133"/>
      <c r="FHI29" s="133"/>
      <c r="FHJ29" s="133"/>
      <c r="FHK29" s="133"/>
      <c r="FHL29" s="133"/>
      <c r="FHM29" s="133"/>
      <c r="FHN29" s="133"/>
      <c r="FHO29" s="133"/>
      <c r="FHP29" s="133"/>
      <c r="FHQ29" s="133"/>
      <c r="FHR29" s="133"/>
      <c r="FHS29" s="133"/>
      <c r="FHT29" s="133"/>
      <c r="FHU29" s="133"/>
      <c r="FHV29" s="133"/>
      <c r="FHW29" s="133"/>
      <c r="FHX29" s="133"/>
      <c r="FHY29" s="133"/>
      <c r="FHZ29" s="133"/>
      <c r="FIA29" s="133"/>
      <c r="FIB29" s="133"/>
      <c r="FIC29" s="133"/>
      <c r="FID29" s="133"/>
      <c r="FIE29" s="133"/>
      <c r="FIF29" s="133"/>
      <c r="FIG29" s="133"/>
      <c r="FIH29" s="133"/>
      <c r="FII29" s="133"/>
      <c r="FIJ29" s="133"/>
      <c r="FIK29" s="133"/>
      <c r="FIL29" s="133"/>
      <c r="FIM29" s="133"/>
      <c r="FIN29" s="133"/>
      <c r="FIO29" s="133"/>
      <c r="FIP29" s="133"/>
      <c r="FIQ29" s="133"/>
      <c r="FIR29" s="133"/>
      <c r="FIS29" s="133"/>
      <c r="FIT29" s="133"/>
      <c r="FIU29" s="133"/>
      <c r="FIV29" s="133"/>
      <c r="FIW29" s="133"/>
      <c r="FIX29" s="133"/>
      <c r="FIY29" s="133"/>
      <c r="FIZ29" s="133"/>
      <c r="FJA29" s="133"/>
      <c r="FJB29" s="133"/>
      <c r="FJC29" s="133"/>
      <c r="FJD29" s="133"/>
      <c r="FJE29" s="133"/>
      <c r="FJF29" s="133"/>
      <c r="FJG29" s="133"/>
      <c r="FJH29" s="133"/>
      <c r="FJI29" s="133"/>
      <c r="FJJ29" s="133"/>
      <c r="FJK29" s="133"/>
      <c r="FJL29" s="133"/>
      <c r="FJM29" s="133"/>
      <c r="FJN29" s="133"/>
      <c r="FJO29" s="133"/>
      <c r="FJP29" s="133"/>
      <c r="FJQ29" s="133"/>
      <c r="FJR29" s="133"/>
      <c r="FJS29" s="133"/>
      <c r="FJT29" s="133"/>
      <c r="FJU29" s="133"/>
      <c r="FJV29" s="133"/>
      <c r="FJW29" s="133"/>
      <c r="FJX29" s="133"/>
      <c r="FJY29" s="133"/>
      <c r="FJZ29" s="133"/>
      <c r="FKA29" s="133"/>
      <c r="FKB29" s="133"/>
      <c r="FKC29" s="133"/>
      <c r="FKD29" s="133"/>
      <c r="FKE29" s="133"/>
      <c r="FKF29" s="133"/>
      <c r="FKG29" s="133"/>
      <c r="FKH29" s="133"/>
      <c r="FKI29" s="133"/>
      <c r="FKJ29" s="133"/>
      <c r="FKK29" s="133"/>
      <c r="FKL29" s="133"/>
      <c r="FKM29" s="133"/>
      <c r="FKN29" s="133"/>
      <c r="FKO29" s="133"/>
      <c r="FKP29" s="133"/>
      <c r="FKQ29" s="133"/>
      <c r="FKR29" s="133"/>
      <c r="FKS29" s="133"/>
      <c r="FKT29" s="133"/>
      <c r="FKU29" s="133"/>
      <c r="FKV29" s="133"/>
      <c r="FKW29" s="133"/>
      <c r="FKX29" s="133"/>
      <c r="FKY29" s="133"/>
      <c r="FKZ29" s="133"/>
      <c r="FLA29" s="133"/>
      <c r="FLB29" s="133"/>
      <c r="FLC29" s="133"/>
      <c r="FLD29" s="133"/>
      <c r="FLE29" s="133"/>
      <c r="FLF29" s="133"/>
      <c r="FLG29" s="133"/>
      <c r="FLH29" s="133"/>
      <c r="FLI29" s="133"/>
      <c r="FLJ29" s="133"/>
      <c r="FLK29" s="133"/>
      <c r="FLL29" s="133"/>
      <c r="FLM29" s="133"/>
      <c r="FLN29" s="133"/>
      <c r="FLO29" s="133"/>
      <c r="FLP29" s="133"/>
      <c r="FLQ29" s="133"/>
      <c r="FLR29" s="133"/>
      <c r="FLS29" s="133"/>
      <c r="FLT29" s="133"/>
      <c r="FLU29" s="133"/>
      <c r="FLV29" s="133"/>
      <c r="FLW29" s="133"/>
      <c r="FLX29" s="133"/>
      <c r="FLY29" s="133"/>
      <c r="FLZ29" s="133"/>
      <c r="FMA29" s="133"/>
      <c r="FMB29" s="133"/>
      <c r="FMC29" s="133"/>
      <c r="FMD29" s="133"/>
      <c r="FME29" s="133"/>
      <c r="FMF29" s="133"/>
      <c r="FMG29" s="133"/>
      <c r="FMH29" s="133"/>
      <c r="FMI29" s="133"/>
      <c r="FMJ29" s="133"/>
      <c r="FMK29" s="133"/>
      <c r="FML29" s="133"/>
      <c r="FMM29" s="133"/>
      <c r="FMN29" s="133"/>
      <c r="FMO29" s="133"/>
      <c r="FMP29" s="133"/>
      <c r="FMQ29" s="133"/>
      <c r="FMR29" s="133"/>
      <c r="FMS29" s="133"/>
      <c r="FMT29" s="133"/>
      <c r="FMU29" s="133"/>
      <c r="FMV29" s="133"/>
      <c r="FMW29" s="133"/>
      <c r="FMX29" s="133"/>
      <c r="FMY29" s="133"/>
      <c r="FMZ29" s="133"/>
      <c r="FNA29" s="133"/>
      <c r="FNB29" s="133"/>
      <c r="FNC29" s="133"/>
      <c r="FND29" s="133"/>
      <c r="FNE29" s="133"/>
      <c r="FNF29" s="133"/>
      <c r="FNG29" s="133"/>
      <c r="FNH29" s="133"/>
      <c r="FNI29" s="133"/>
      <c r="FNJ29" s="133"/>
      <c r="FNK29" s="133"/>
      <c r="FNL29" s="133"/>
      <c r="FNM29" s="133"/>
      <c r="FNN29" s="133"/>
      <c r="FNO29" s="133"/>
      <c r="FNP29" s="133"/>
      <c r="FNQ29" s="133"/>
      <c r="FNR29" s="133"/>
      <c r="FNS29" s="133"/>
      <c r="FNT29" s="133"/>
      <c r="FNU29" s="133"/>
      <c r="FNV29" s="133"/>
      <c r="FNW29" s="133"/>
      <c r="FNX29" s="133"/>
      <c r="FNY29" s="133"/>
      <c r="FNZ29" s="133"/>
      <c r="FOA29" s="133"/>
      <c r="FOB29" s="133"/>
      <c r="FOC29" s="133"/>
      <c r="FOD29" s="133"/>
      <c r="FOE29" s="133"/>
      <c r="FOF29" s="133"/>
      <c r="FOG29" s="133"/>
      <c r="FOH29" s="133"/>
      <c r="FOI29" s="133"/>
      <c r="FOJ29" s="133"/>
      <c r="FOK29" s="133"/>
      <c r="FOL29" s="133"/>
      <c r="FOM29" s="133"/>
      <c r="FON29" s="133"/>
      <c r="FOO29" s="133"/>
      <c r="FOP29" s="133"/>
      <c r="FOQ29" s="133"/>
      <c r="FOR29" s="133"/>
      <c r="FOS29" s="133"/>
      <c r="FOT29" s="133"/>
      <c r="FOU29" s="133"/>
      <c r="FOV29" s="133"/>
      <c r="FOW29" s="133"/>
      <c r="FOX29" s="133"/>
      <c r="FOY29" s="133"/>
      <c r="FOZ29" s="133"/>
      <c r="FPA29" s="133"/>
      <c r="FPB29" s="133"/>
      <c r="FPC29" s="133"/>
      <c r="FPD29" s="133"/>
      <c r="FPE29" s="133"/>
      <c r="FPF29" s="133"/>
      <c r="FPG29" s="133"/>
      <c r="FPH29" s="133"/>
      <c r="FPI29" s="133"/>
      <c r="FPJ29" s="133"/>
      <c r="FPK29" s="133"/>
      <c r="FPL29" s="133"/>
      <c r="FPM29" s="133"/>
      <c r="FPN29" s="133"/>
      <c r="FPO29" s="133"/>
      <c r="FPP29" s="133"/>
      <c r="FPQ29" s="133"/>
      <c r="FPR29" s="133"/>
      <c r="FPS29" s="133"/>
      <c r="FPT29" s="133"/>
      <c r="FPU29" s="133"/>
      <c r="FPV29" s="133"/>
      <c r="FPW29" s="133"/>
      <c r="FPX29" s="133"/>
      <c r="FPY29" s="133"/>
      <c r="FPZ29" s="133"/>
      <c r="FQA29" s="133"/>
      <c r="FQB29" s="133"/>
      <c r="FQC29" s="133"/>
      <c r="FQD29" s="133"/>
      <c r="FQE29" s="133"/>
      <c r="FQF29" s="133"/>
      <c r="FQG29" s="133"/>
      <c r="FQH29" s="133"/>
      <c r="FQI29" s="133"/>
      <c r="FQJ29" s="133"/>
      <c r="FQK29" s="133"/>
      <c r="FQL29" s="133"/>
      <c r="FQM29" s="133"/>
      <c r="FQN29" s="133"/>
      <c r="FQO29" s="133"/>
      <c r="FQP29" s="133"/>
      <c r="FQQ29" s="133"/>
      <c r="FQR29" s="133"/>
      <c r="FQS29" s="133"/>
      <c r="FQT29" s="133"/>
      <c r="FQU29" s="133"/>
      <c r="FQV29" s="133"/>
      <c r="FQW29" s="133"/>
      <c r="FQX29" s="133"/>
      <c r="FQY29" s="133"/>
      <c r="FQZ29" s="133"/>
      <c r="FRA29" s="133"/>
      <c r="FRB29" s="133"/>
      <c r="FRC29" s="133"/>
      <c r="FRD29" s="133"/>
      <c r="FRE29" s="133"/>
      <c r="FRF29" s="133"/>
      <c r="FRG29" s="133"/>
      <c r="FRH29" s="133"/>
      <c r="FRI29" s="133"/>
      <c r="FRJ29" s="133"/>
      <c r="FRK29" s="133"/>
      <c r="FRL29" s="133"/>
      <c r="FRM29" s="133"/>
      <c r="FRN29" s="133"/>
      <c r="FRO29" s="133"/>
      <c r="FRP29" s="133"/>
      <c r="FRQ29" s="133"/>
      <c r="FRR29" s="133"/>
      <c r="FRS29" s="133"/>
      <c r="FRT29" s="133"/>
      <c r="FRU29" s="133"/>
      <c r="FRV29" s="133"/>
      <c r="FRW29" s="133"/>
      <c r="FRX29" s="133"/>
      <c r="FRY29" s="133"/>
      <c r="FRZ29" s="133"/>
      <c r="FSA29" s="133"/>
      <c r="FSB29" s="133"/>
      <c r="FSC29" s="133"/>
      <c r="FSD29" s="133"/>
      <c r="FSE29" s="133"/>
      <c r="FSF29" s="133"/>
      <c r="FSG29" s="133"/>
      <c r="FSH29" s="133"/>
      <c r="FSI29" s="133"/>
      <c r="FSJ29" s="133"/>
      <c r="FSK29" s="133"/>
      <c r="FSL29" s="133"/>
      <c r="FSM29" s="133"/>
      <c r="FSN29" s="133"/>
      <c r="FSO29" s="133"/>
      <c r="FSP29" s="133"/>
      <c r="FSQ29" s="133"/>
      <c r="FSR29" s="133"/>
      <c r="FSS29" s="133"/>
      <c r="FST29" s="133"/>
      <c r="FSU29" s="133"/>
      <c r="FSV29" s="133"/>
      <c r="FSW29" s="133"/>
      <c r="FSX29" s="133"/>
      <c r="FSY29" s="133"/>
      <c r="FSZ29" s="133"/>
      <c r="FTA29" s="133"/>
      <c r="FTB29" s="133"/>
      <c r="FTC29" s="133"/>
      <c r="FTD29" s="133"/>
      <c r="FTE29" s="133"/>
      <c r="FTF29" s="133"/>
      <c r="FTG29" s="133"/>
      <c r="FTH29" s="133"/>
      <c r="FTI29" s="133"/>
      <c r="FTJ29" s="133"/>
      <c r="FTK29" s="133"/>
      <c r="FTL29" s="133"/>
      <c r="FTM29" s="133"/>
      <c r="FTN29" s="133"/>
      <c r="FTO29" s="133"/>
      <c r="FTP29" s="133"/>
      <c r="FTQ29" s="133"/>
      <c r="FTR29" s="133"/>
      <c r="FTS29" s="133"/>
      <c r="FTT29" s="133"/>
      <c r="FTU29" s="133"/>
      <c r="FTV29" s="133"/>
      <c r="FTW29" s="133"/>
      <c r="FTX29" s="133"/>
      <c r="FTY29" s="133"/>
      <c r="FTZ29" s="133"/>
      <c r="FUA29" s="133"/>
      <c r="FUB29" s="133"/>
      <c r="FUC29" s="133"/>
      <c r="FUD29" s="133"/>
      <c r="FUE29" s="133"/>
      <c r="FUF29" s="133"/>
      <c r="FUG29" s="133"/>
      <c r="FUH29" s="133"/>
      <c r="FUI29" s="133"/>
      <c r="FUJ29" s="133"/>
      <c r="FUK29" s="133"/>
      <c r="FUL29" s="133"/>
      <c r="FUM29" s="133"/>
      <c r="FUN29" s="133"/>
      <c r="FUO29" s="133"/>
      <c r="FUP29" s="133"/>
      <c r="FUQ29" s="133"/>
      <c r="FUR29" s="133"/>
      <c r="FUS29" s="133"/>
      <c r="FUT29" s="133"/>
      <c r="FUU29" s="133"/>
      <c r="FUV29" s="133"/>
      <c r="FUW29" s="133"/>
      <c r="FUX29" s="133"/>
      <c r="FUY29" s="133"/>
      <c r="FUZ29" s="133"/>
      <c r="FVA29" s="133"/>
      <c r="FVB29" s="133"/>
      <c r="FVC29" s="133"/>
      <c r="FVD29" s="133"/>
      <c r="FVE29" s="133"/>
      <c r="FVF29" s="133"/>
      <c r="FVG29" s="133"/>
      <c r="FVH29" s="133"/>
      <c r="FVI29" s="133"/>
      <c r="FVJ29" s="133"/>
      <c r="FVK29" s="133"/>
      <c r="FVL29" s="133"/>
      <c r="FVM29" s="133"/>
      <c r="FVN29" s="133"/>
      <c r="FVO29" s="133"/>
      <c r="FVP29" s="133"/>
      <c r="FVQ29" s="133"/>
      <c r="FVR29" s="133"/>
      <c r="FVS29" s="133"/>
      <c r="FVT29" s="133"/>
      <c r="FVU29" s="133"/>
      <c r="FVV29" s="133"/>
      <c r="FVW29" s="133"/>
      <c r="FVX29" s="133"/>
      <c r="FVY29" s="133"/>
      <c r="FVZ29" s="133"/>
      <c r="FWA29" s="133"/>
      <c r="FWB29" s="133"/>
      <c r="FWC29" s="133"/>
      <c r="FWD29" s="133"/>
      <c r="FWE29" s="133"/>
      <c r="FWF29" s="133"/>
      <c r="FWG29" s="133"/>
      <c r="FWH29" s="133"/>
      <c r="FWI29" s="133"/>
      <c r="FWJ29" s="133"/>
      <c r="FWK29" s="133"/>
      <c r="FWL29" s="133"/>
      <c r="FWM29" s="133"/>
      <c r="FWN29" s="133"/>
      <c r="FWO29" s="133"/>
      <c r="FWP29" s="133"/>
      <c r="FWQ29" s="133"/>
      <c r="FWR29" s="133"/>
      <c r="FWS29" s="133"/>
      <c r="FWT29" s="133"/>
      <c r="FWU29" s="133"/>
      <c r="FWV29" s="133"/>
      <c r="FWW29" s="133"/>
      <c r="FWX29" s="133"/>
      <c r="FWY29" s="133"/>
      <c r="FWZ29" s="133"/>
      <c r="FXA29" s="133"/>
      <c r="FXB29" s="133"/>
      <c r="FXC29" s="133"/>
      <c r="FXD29" s="133"/>
      <c r="FXE29" s="133"/>
      <c r="FXF29" s="133"/>
      <c r="FXG29" s="133"/>
      <c r="FXH29" s="133"/>
      <c r="FXI29" s="133"/>
      <c r="FXJ29" s="133"/>
      <c r="FXK29" s="133"/>
      <c r="FXL29" s="133"/>
      <c r="FXM29" s="133"/>
      <c r="FXN29" s="133"/>
      <c r="FXO29" s="133"/>
      <c r="FXP29" s="133"/>
      <c r="FXQ29" s="133"/>
      <c r="FXR29" s="133"/>
      <c r="FXS29" s="133"/>
      <c r="FXT29" s="133"/>
      <c r="FXU29" s="133"/>
      <c r="FXV29" s="133"/>
      <c r="FXW29" s="133"/>
      <c r="FXX29" s="133"/>
      <c r="FXY29" s="133"/>
      <c r="FXZ29" s="133"/>
      <c r="FYA29" s="133"/>
      <c r="FYB29" s="133"/>
      <c r="FYC29" s="133"/>
      <c r="FYD29" s="133"/>
      <c r="FYE29" s="133"/>
      <c r="FYF29" s="133"/>
      <c r="FYG29" s="133"/>
      <c r="FYH29" s="133"/>
      <c r="FYI29" s="133"/>
      <c r="FYJ29" s="133"/>
      <c r="FYK29" s="133"/>
      <c r="FYL29" s="133"/>
      <c r="FYM29" s="133"/>
      <c r="FYN29" s="133"/>
      <c r="FYO29" s="133"/>
      <c r="FYP29" s="133"/>
      <c r="FYQ29" s="133"/>
      <c r="FYR29" s="133"/>
      <c r="FYS29" s="133"/>
      <c r="FYT29" s="133"/>
      <c r="FYU29" s="133"/>
      <c r="FYV29" s="133"/>
      <c r="FYW29" s="133"/>
      <c r="FYX29" s="133"/>
      <c r="FYY29" s="133"/>
      <c r="FYZ29" s="133"/>
      <c r="FZA29" s="133"/>
      <c r="FZB29" s="133"/>
      <c r="FZC29" s="133"/>
      <c r="FZD29" s="133"/>
      <c r="FZE29" s="133"/>
      <c r="FZF29" s="133"/>
      <c r="FZG29" s="133"/>
      <c r="FZH29" s="133"/>
      <c r="FZI29" s="133"/>
      <c r="FZJ29" s="133"/>
      <c r="FZK29" s="133"/>
      <c r="FZL29" s="133"/>
      <c r="FZM29" s="133"/>
      <c r="FZN29" s="133"/>
      <c r="FZO29" s="133"/>
      <c r="FZP29" s="133"/>
      <c r="FZQ29" s="133"/>
      <c r="FZR29" s="133"/>
      <c r="FZS29" s="133"/>
      <c r="FZT29" s="133"/>
      <c r="FZU29" s="133"/>
      <c r="FZV29" s="133"/>
      <c r="FZW29" s="133"/>
      <c r="FZX29" s="133"/>
      <c r="FZY29" s="133"/>
      <c r="FZZ29" s="133"/>
      <c r="GAA29" s="133"/>
      <c r="GAB29" s="133"/>
      <c r="GAC29" s="133"/>
      <c r="GAD29" s="133"/>
      <c r="GAE29" s="133"/>
      <c r="GAF29" s="133"/>
      <c r="GAG29" s="133"/>
      <c r="GAH29" s="133"/>
      <c r="GAI29" s="133"/>
      <c r="GAJ29" s="133"/>
      <c r="GAK29" s="133"/>
      <c r="GAL29" s="133"/>
      <c r="GAM29" s="133"/>
      <c r="GAN29" s="133"/>
      <c r="GAO29" s="133"/>
      <c r="GAP29" s="133"/>
      <c r="GAQ29" s="133"/>
      <c r="GAR29" s="133"/>
      <c r="GAS29" s="133"/>
      <c r="GAT29" s="133"/>
      <c r="GAU29" s="133"/>
      <c r="GAV29" s="133"/>
      <c r="GAW29" s="133"/>
      <c r="GAX29" s="133"/>
      <c r="GAY29" s="133"/>
      <c r="GAZ29" s="133"/>
      <c r="GBA29" s="133"/>
      <c r="GBB29" s="133"/>
      <c r="GBC29" s="133"/>
      <c r="GBD29" s="133"/>
      <c r="GBE29" s="133"/>
      <c r="GBF29" s="133"/>
      <c r="GBG29" s="133"/>
      <c r="GBH29" s="133"/>
      <c r="GBI29" s="133"/>
      <c r="GBJ29" s="133"/>
      <c r="GBK29" s="133"/>
      <c r="GBL29" s="133"/>
      <c r="GBM29" s="133"/>
      <c r="GBN29" s="133"/>
      <c r="GBO29" s="133"/>
      <c r="GBP29" s="133"/>
      <c r="GBQ29" s="133"/>
      <c r="GBR29" s="133"/>
      <c r="GBS29" s="133"/>
      <c r="GBT29" s="133"/>
      <c r="GBU29" s="133"/>
      <c r="GBV29" s="133"/>
      <c r="GBW29" s="133"/>
      <c r="GBX29" s="133"/>
      <c r="GBY29" s="133"/>
      <c r="GBZ29" s="133"/>
      <c r="GCA29" s="133"/>
      <c r="GCB29" s="133"/>
      <c r="GCC29" s="133"/>
      <c r="GCD29" s="133"/>
      <c r="GCE29" s="133"/>
      <c r="GCF29" s="133"/>
      <c r="GCG29" s="133"/>
      <c r="GCH29" s="133"/>
      <c r="GCI29" s="133"/>
      <c r="GCJ29" s="133"/>
      <c r="GCK29" s="133"/>
      <c r="GCL29" s="133"/>
      <c r="GCM29" s="133"/>
      <c r="GCN29" s="133"/>
      <c r="GCO29" s="133"/>
      <c r="GCP29" s="133"/>
      <c r="GCQ29" s="133"/>
      <c r="GCR29" s="133"/>
      <c r="GCS29" s="133"/>
      <c r="GCT29" s="133"/>
      <c r="GCU29" s="133"/>
      <c r="GCV29" s="133"/>
      <c r="GCW29" s="133"/>
      <c r="GCX29" s="133"/>
      <c r="GCY29" s="133"/>
      <c r="GCZ29" s="133"/>
      <c r="GDA29" s="133"/>
      <c r="GDB29" s="133"/>
      <c r="GDC29" s="133"/>
      <c r="GDD29" s="133"/>
      <c r="GDE29" s="133"/>
      <c r="GDF29" s="133"/>
      <c r="GDG29" s="133"/>
      <c r="GDH29" s="133"/>
      <c r="GDI29" s="133"/>
      <c r="GDJ29" s="133"/>
      <c r="GDK29" s="133"/>
      <c r="GDL29" s="133"/>
      <c r="GDM29" s="133"/>
      <c r="GDN29" s="133"/>
      <c r="GDO29" s="133"/>
      <c r="GDP29" s="133"/>
      <c r="GDQ29" s="133"/>
      <c r="GDR29" s="133"/>
      <c r="GDS29" s="133"/>
      <c r="GDT29" s="133"/>
      <c r="GDU29" s="133"/>
      <c r="GDV29" s="133"/>
      <c r="GDW29" s="133"/>
      <c r="GDX29" s="133"/>
      <c r="GDY29" s="133"/>
      <c r="GDZ29" s="133"/>
      <c r="GEA29" s="133"/>
      <c r="GEB29" s="133"/>
      <c r="GEC29" s="133"/>
      <c r="GED29" s="133"/>
      <c r="GEE29" s="133"/>
      <c r="GEF29" s="133"/>
      <c r="GEG29" s="133"/>
      <c r="GEH29" s="133"/>
      <c r="GEI29" s="133"/>
      <c r="GEJ29" s="133"/>
      <c r="GEK29" s="133"/>
      <c r="GEL29" s="133"/>
      <c r="GEM29" s="133"/>
      <c r="GEN29" s="133"/>
      <c r="GEO29" s="133"/>
      <c r="GEP29" s="133"/>
      <c r="GEQ29" s="133"/>
      <c r="GER29" s="133"/>
      <c r="GES29" s="133"/>
      <c r="GET29" s="133"/>
      <c r="GEU29" s="133"/>
      <c r="GEV29" s="133"/>
      <c r="GEW29" s="133"/>
      <c r="GEX29" s="133"/>
      <c r="GEY29" s="133"/>
      <c r="GEZ29" s="133"/>
      <c r="GFA29" s="133"/>
      <c r="GFB29" s="133"/>
      <c r="GFC29" s="133"/>
      <c r="GFD29" s="133"/>
      <c r="GFE29" s="133"/>
      <c r="GFF29" s="133"/>
      <c r="GFG29" s="133"/>
      <c r="GFH29" s="133"/>
      <c r="GFI29" s="133"/>
      <c r="GFJ29" s="133"/>
      <c r="GFK29" s="133"/>
      <c r="GFL29" s="133"/>
      <c r="GFM29" s="133"/>
      <c r="GFN29" s="133"/>
      <c r="GFO29" s="133"/>
      <c r="GFP29" s="133"/>
      <c r="GFQ29" s="133"/>
      <c r="GFR29" s="133"/>
      <c r="GFS29" s="133"/>
      <c r="GFT29" s="133"/>
      <c r="GFU29" s="133"/>
      <c r="GFV29" s="133"/>
      <c r="GFW29" s="133"/>
      <c r="GFX29" s="133"/>
      <c r="GFY29" s="133"/>
      <c r="GFZ29" s="133"/>
      <c r="GGA29" s="133"/>
      <c r="GGB29" s="133"/>
      <c r="GGC29" s="133"/>
      <c r="GGD29" s="133"/>
      <c r="GGE29" s="133"/>
      <c r="GGF29" s="133"/>
      <c r="GGG29" s="133"/>
      <c r="GGH29" s="133"/>
      <c r="GGI29" s="133"/>
      <c r="GGJ29" s="133"/>
      <c r="GGK29" s="133"/>
      <c r="GGL29" s="133"/>
      <c r="GGM29" s="133"/>
      <c r="GGN29" s="133"/>
      <c r="GGO29" s="133"/>
      <c r="GGP29" s="133"/>
      <c r="GGQ29" s="133"/>
      <c r="GGR29" s="133"/>
      <c r="GGS29" s="133"/>
      <c r="GGT29" s="133"/>
      <c r="GGU29" s="133"/>
      <c r="GGV29" s="133"/>
      <c r="GGW29" s="133"/>
      <c r="GGX29" s="133"/>
      <c r="GGY29" s="133"/>
      <c r="GGZ29" s="133"/>
      <c r="GHA29" s="133"/>
      <c r="GHB29" s="133"/>
      <c r="GHC29" s="133"/>
      <c r="GHD29" s="133"/>
      <c r="GHE29" s="133"/>
      <c r="GHF29" s="133"/>
      <c r="GHG29" s="133"/>
      <c r="GHH29" s="133"/>
      <c r="GHI29" s="133"/>
      <c r="GHJ29" s="133"/>
      <c r="GHK29" s="133"/>
      <c r="GHL29" s="133"/>
      <c r="GHM29" s="133"/>
      <c r="GHN29" s="133"/>
      <c r="GHO29" s="133"/>
      <c r="GHP29" s="133"/>
      <c r="GHQ29" s="133"/>
      <c r="GHR29" s="133"/>
      <c r="GHS29" s="133"/>
      <c r="GHT29" s="133"/>
      <c r="GHU29" s="133"/>
      <c r="GHV29" s="133"/>
      <c r="GHW29" s="133"/>
      <c r="GHX29" s="133"/>
      <c r="GHY29" s="133"/>
      <c r="GHZ29" s="133"/>
      <c r="GIA29" s="133"/>
      <c r="GIB29" s="133"/>
      <c r="GIC29" s="133"/>
      <c r="GID29" s="133"/>
      <c r="GIE29" s="133"/>
      <c r="GIF29" s="133"/>
      <c r="GIG29" s="133"/>
      <c r="GIH29" s="133"/>
      <c r="GII29" s="133"/>
      <c r="GIJ29" s="133"/>
      <c r="GIK29" s="133"/>
      <c r="GIL29" s="133"/>
      <c r="GIM29" s="133"/>
      <c r="GIN29" s="133"/>
      <c r="GIO29" s="133"/>
      <c r="GIP29" s="133"/>
      <c r="GIQ29" s="133"/>
      <c r="GIR29" s="133"/>
      <c r="GIS29" s="133"/>
      <c r="GIT29" s="133"/>
      <c r="GIU29" s="133"/>
      <c r="GIV29" s="133"/>
      <c r="GIW29" s="133"/>
      <c r="GIX29" s="133"/>
      <c r="GIY29" s="133"/>
      <c r="GIZ29" s="133"/>
      <c r="GJA29" s="133"/>
      <c r="GJB29" s="133"/>
      <c r="GJC29" s="133"/>
      <c r="GJD29" s="133"/>
      <c r="GJE29" s="133"/>
      <c r="GJF29" s="133"/>
      <c r="GJG29" s="133"/>
      <c r="GJH29" s="133"/>
      <c r="GJI29" s="133"/>
      <c r="GJJ29" s="133"/>
      <c r="GJK29" s="133"/>
      <c r="GJL29" s="133"/>
      <c r="GJM29" s="133"/>
      <c r="GJN29" s="133"/>
      <c r="GJO29" s="133"/>
      <c r="GJP29" s="133"/>
      <c r="GJQ29" s="133"/>
      <c r="GJR29" s="133"/>
      <c r="GJS29" s="133"/>
      <c r="GJT29" s="133"/>
      <c r="GJU29" s="133"/>
      <c r="GJV29" s="133"/>
      <c r="GJW29" s="133"/>
      <c r="GJX29" s="133"/>
      <c r="GJY29" s="133"/>
      <c r="GJZ29" s="133"/>
      <c r="GKA29" s="133"/>
      <c r="GKB29" s="133"/>
      <c r="GKC29" s="133"/>
      <c r="GKD29" s="133"/>
      <c r="GKE29" s="133"/>
      <c r="GKF29" s="133"/>
      <c r="GKG29" s="133"/>
      <c r="GKH29" s="133"/>
      <c r="GKI29" s="133"/>
      <c r="GKJ29" s="133"/>
      <c r="GKK29" s="133"/>
      <c r="GKL29" s="133"/>
      <c r="GKM29" s="133"/>
      <c r="GKN29" s="133"/>
      <c r="GKO29" s="133"/>
      <c r="GKP29" s="133"/>
      <c r="GKQ29" s="133"/>
      <c r="GKR29" s="133"/>
      <c r="GKS29" s="133"/>
      <c r="GKT29" s="133"/>
      <c r="GKU29" s="133"/>
      <c r="GKV29" s="133"/>
      <c r="GKW29" s="133"/>
      <c r="GKX29" s="133"/>
      <c r="GKY29" s="133"/>
      <c r="GKZ29" s="133"/>
      <c r="GLA29" s="133"/>
      <c r="GLB29" s="133"/>
      <c r="GLC29" s="133"/>
      <c r="GLD29" s="133"/>
      <c r="GLE29" s="133"/>
      <c r="GLF29" s="133"/>
      <c r="GLG29" s="133"/>
      <c r="GLH29" s="133"/>
      <c r="GLI29" s="133"/>
      <c r="GLJ29" s="133"/>
      <c r="GLK29" s="133"/>
      <c r="GLL29" s="133"/>
      <c r="GLM29" s="133"/>
      <c r="GLN29" s="133"/>
      <c r="GLO29" s="133"/>
      <c r="GLP29" s="133"/>
      <c r="GLQ29" s="133"/>
      <c r="GLR29" s="133"/>
      <c r="GLS29" s="133"/>
      <c r="GLT29" s="133"/>
      <c r="GLU29" s="133"/>
      <c r="GLV29" s="133"/>
      <c r="GLW29" s="133"/>
      <c r="GLX29" s="133"/>
      <c r="GLY29" s="133"/>
      <c r="GLZ29" s="133"/>
      <c r="GMA29" s="133"/>
      <c r="GMB29" s="133"/>
      <c r="GMC29" s="133"/>
      <c r="GMD29" s="133"/>
      <c r="GME29" s="133"/>
      <c r="GMF29" s="133"/>
      <c r="GMG29" s="133"/>
      <c r="GMH29" s="133"/>
      <c r="GMI29" s="133"/>
      <c r="GMJ29" s="133"/>
      <c r="GMK29" s="133"/>
      <c r="GML29" s="133"/>
      <c r="GMM29" s="133"/>
      <c r="GMN29" s="133"/>
      <c r="GMO29" s="133"/>
      <c r="GMP29" s="133"/>
      <c r="GMQ29" s="133"/>
      <c r="GMR29" s="133"/>
      <c r="GMS29" s="133"/>
      <c r="GMT29" s="133"/>
      <c r="GMU29" s="133"/>
      <c r="GMV29" s="133"/>
      <c r="GMW29" s="133"/>
      <c r="GMX29" s="133"/>
      <c r="GMY29" s="133"/>
      <c r="GMZ29" s="133"/>
      <c r="GNA29" s="133"/>
      <c r="GNB29" s="133"/>
      <c r="GNC29" s="133"/>
      <c r="GND29" s="133"/>
      <c r="GNE29" s="133"/>
      <c r="GNF29" s="133"/>
      <c r="GNG29" s="133"/>
      <c r="GNH29" s="133"/>
      <c r="GNI29" s="133"/>
      <c r="GNJ29" s="133"/>
      <c r="GNK29" s="133"/>
      <c r="GNL29" s="133"/>
      <c r="GNM29" s="133"/>
      <c r="GNN29" s="133"/>
      <c r="GNO29" s="133"/>
      <c r="GNP29" s="133"/>
      <c r="GNQ29" s="133"/>
      <c r="GNR29" s="133"/>
      <c r="GNS29" s="133"/>
      <c r="GNT29" s="133"/>
      <c r="GNU29" s="133"/>
      <c r="GNV29" s="133"/>
      <c r="GNW29" s="133"/>
      <c r="GNX29" s="133"/>
      <c r="GNY29" s="133"/>
      <c r="GNZ29" s="133"/>
      <c r="GOA29" s="133"/>
      <c r="GOB29" s="133"/>
      <c r="GOC29" s="133"/>
      <c r="GOD29" s="133"/>
      <c r="GOE29" s="133"/>
      <c r="GOF29" s="133"/>
      <c r="GOG29" s="133"/>
      <c r="GOH29" s="133"/>
      <c r="GOI29" s="133"/>
      <c r="GOJ29" s="133"/>
      <c r="GOK29" s="133"/>
      <c r="GOL29" s="133"/>
      <c r="GOM29" s="133"/>
      <c r="GON29" s="133"/>
      <c r="GOO29" s="133"/>
      <c r="GOP29" s="133"/>
      <c r="GOQ29" s="133"/>
      <c r="GOR29" s="133"/>
      <c r="GOS29" s="133"/>
      <c r="GOT29" s="133"/>
      <c r="GOU29" s="133"/>
      <c r="GOV29" s="133"/>
      <c r="GOW29" s="133"/>
      <c r="GOX29" s="133"/>
      <c r="GOY29" s="133"/>
      <c r="GOZ29" s="133"/>
      <c r="GPA29" s="133"/>
      <c r="GPB29" s="133"/>
      <c r="GPC29" s="133"/>
      <c r="GPD29" s="133"/>
      <c r="GPE29" s="133"/>
      <c r="GPF29" s="133"/>
      <c r="GPG29" s="133"/>
      <c r="GPH29" s="133"/>
      <c r="GPI29" s="133"/>
      <c r="GPJ29" s="133"/>
      <c r="GPK29" s="133"/>
      <c r="GPL29" s="133"/>
      <c r="GPM29" s="133"/>
      <c r="GPN29" s="133"/>
      <c r="GPO29" s="133"/>
      <c r="GPP29" s="133"/>
      <c r="GPQ29" s="133"/>
      <c r="GPR29" s="133"/>
      <c r="GPS29" s="133"/>
      <c r="GPT29" s="133"/>
      <c r="GPU29" s="133"/>
      <c r="GPV29" s="133"/>
      <c r="GPW29" s="133"/>
      <c r="GPX29" s="133"/>
      <c r="GPY29" s="133"/>
      <c r="GPZ29" s="133"/>
      <c r="GQA29" s="133"/>
      <c r="GQB29" s="133"/>
      <c r="GQC29" s="133"/>
      <c r="GQD29" s="133"/>
      <c r="GQE29" s="133"/>
      <c r="GQF29" s="133"/>
      <c r="GQG29" s="133"/>
      <c r="GQH29" s="133"/>
      <c r="GQI29" s="133"/>
      <c r="GQJ29" s="133"/>
      <c r="GQK29" s="133"/>
      <c r="GQL29" s="133"/>
      <c r="GQM29" s="133"/>
      <c r="GQN29" s="133"/>
      <c r="GQO29" s="133"/>
      <c r="GQP29" s="133"/>
      <c r="GQQ29" s="133"/>
      <c r="GQR29" s="133"/>
      <c r="GQS29" s="133"/>
      <c r="GQT29" s="133"/>
      <c r="GQU29" s="133"/>
      <c r="GQV29" s="133"/>
      <c r="GQW29" s="133"/>
      <c r="GQX29" s="133"/>
      <c r="GQY29" s="133"/>
      <c r="GQZ29" s="133"/>
      <c r="GRA29" s="133"/>
      <c r="GRB29" s="133"/>
      <c r="GRC29" s="133"/>
      <c r="GRD29" s="133"/>
      <c r="GRE29" s="133"/>
      <c r="GRF29" s="133"/>
      <c r="GRG29" s="133"/>
      <c r="GRH29" s="133"/>
      <c r="GRI29" s="133"/>
      <c r="GRJ29" s="133"/>
      <c r="GRK29" s="133"/>
      <c r="GRL29" s="133"/>
      <c r="GRM29" s="133"/>
      <c r="GRN29" s="133"/>
      <c r="GRO29" s="133"/>
      <c r="GRP29" s="133"/>
      <c r="GRQ29" s="133"/>
      <c r="GRR29" s="133"/>
      <c r="GRS29" s="133"/>
      <c r="GRT29" s="133"/>
      <c r="GRU29" s="133"/>
      <c r="GRV29" s="133"/>
      <c r="GRW29" s="133"/>
      <c r="GRX29" s="133"/>
      <c r="GRY29" s="133"/>
      <c r="GRZ29" s="133"/>
      <c r="GSA29" s="133"/>
      <c r="GSB29" s="133"/>
      <c r="GSC29" s="133"/>
      <c r="GSD29" s="133"/>
      <c r="GSE29" s="133"/>
      <c r="GSF29" s="133"/>
      <c r="GSG29" s="133"/>
      <c r="GSH29" s="133"/>
      <c r="GSI29" s="133"/>
      <c r="GSJ29" s="133"/>
      <c r="GSK29" s="133"/>
      <c r="GSL29" s="133"/>
      <c r="GSM29" s="133"/>
      <c r="GSN29" s="133"/>
      <c r="GSO29" s="133"/>
      <c r="GSP29" s="133"/>
      <c r="GSQ29" s="133"/>
      <c r="GSR29" s="133"/>
      <c r="GSS29" s="133"/>
      <c r="GST29" s="133"/>
      <c r="GSU29" s="133"/>
      <c r="GSV29" s="133"/>
      <c r="GSW29" s="133"/>
      <c r="GSX29" s="133"/>
      <c r="GSY29" s="133"/>
      <c r="GSZ29" s="133"/>
      <c r="GTA29" s="133"/>
      <c r="GTB29" s="133"/>
      <c r="GTC29" s="133"/>
      <c r="GTD29" s="133"/>
      <c r="GTE29" s="133"/>
      <c r="GTF29" s="133"/>
      <c r="GTG29" s="133"/>
      <c r="GTH29" s="133"/>
      <c r="GTI29" s="133"/>
      <c r="GTJ29" s="133"/>
      <c r="GTK29" s="133"/>
      <c r="GTL29" s="133"/>
      <c r="GTM29" s="133"/>
      <c r="GTN29" s="133"/>
      <c r="GTO29" s="133"/>
      <c r="GTP29" s="133"/>
      <c r="GTQ29" s="133"/>
      <c r="GTR29" s="133"/>
      <c r="GTS29" s="133"/>
      <c r="GTT29" s="133"/>
      <c r="GTU29" s="133"/>
      <c r="GTV29" s="133"/>
      <c r="GTW29" s="133"/>
      <c r="GTX29" s="133"/>
      <c r="GTY29" s="133"/>
      <c r="GTZ29" s="133"/>
      <c r="GUA29" s="133"/>
      <c r="GUB29" s="133"/>
      <c r="GUC29" s="133"/>
      <c r="GUD29" s="133"/>
      <c r="GUE29" s="133"/>
      <c r="GUF29" s="133"/>
      <c r="GUG29" s="133"/>
      <c r="GUH29" s="133"/>
      <c r="GUI29" s="133"/>
      <c r="GUJ29" s="133"/>
      <c r="GUK29" s="133"/>
      <c r="GUL29" s="133"/>
      <c r="GUM29" s="133"/>
      <c r="GUN29" s="133"/>
      <c r="GUO29" s="133"/>
      <c r="GUP29" s="133"/>
      <c r="GUQ29" s="133"/>
      <c r="GUR29" s="133"/>
      <c r="GUS29" s="133"/>
      <c r="GUT29" s="133"/>
      <c r="GUU29" s="133"/>
      <c r="GUV29" s="133"/>
      <c r="GUW29" s="133"/>
      <c r="GUX29" s="133"/>
      <c r="GUY29" s="133"/>
      <c r="GUZ29" s="133"/>
      <c r="GVA29" s="133"/>
      <c r="GVB29" s="133"/>
      <c r="GVC29" s="133"/>
      <c r="GVD29" s="133"/>
      <c r="GVE29" s="133"/>
      <c r="GVF29" s="133"/>
      <c r="GVG29" s="133"/>
      <c r="GVH29" s="133"/>
      <c r="GVI29" s="133"/>
      <c r="GVJ29" s="133"/>
      <c r="GVK29" s="133"/>
      <c r="GVL29" s="133"/>
      <c r="GVM29" s="133"/>
      <c r="GVN29" s="133"/>
      <c r="GVO29" s="133"/>
      <c r="GVP29" s="133"/>
      <c r="GVQ29" s="133"/>
      <c r="GVR29" s="133"/>
      <c r="GVS29" s="133"/>
      <c r="GVT29" s="133"/>
      <c r="GVU29" s="133"/>
      <c r="GVV29" s="133"/>
      <c r="GVW29" s="133"/>
      <c r="GVX29" s="133"/>
      <c r="GVY29" s="133"/>
      <c r="GVZ29" s="133"/>
      <c r="GWA29" s="133"/>
      <c r="GWB29" s="133"/>
      <c r="GWC29" s="133"/>
      <c r="GWD29" s="133"/>
      <c r="GWE29" s="133"/>
      <c r="GWF29" s="133"/>
      <c r="GWG29" s="133"/>
      <c r="GWH29" s="133"/>
      <c r="GWI29" s="133"/>
      <c r="GWJ29" s="133"/>
      <c r="GWK29" s="133"/>
      <c r="GWL29" s="133"/>
      <c r="GWM29" s="133"/>
      <c r="GWN29" s="133"/>
      <c r="GWO29" s="133"/>
      <c r="GWP29" s="133"/>
      <c r="GWQ29" s="133"/>
      <c r="GWR29" s="133"/>
      <c r="GWS29" s="133"/>
      <c r="GWT29" s="133"/>
      <c r="GWU29" s="133"/>
      <c r="GWV29" s="133"/>
      <c r="GWW29" s="133"/>
      <c r="GWX29" s="133"/>
      <c r="GWY29" s="133"/>
      <c r="GWZ29" s="133"/>
      <c r="GXA29" s="133"/>
      <c r="GXB29" s="133"/>
      <c r="GXC29" s="133"/>
      <c r="GXD29" s="133"/>
      <c r="GXE29" s="133"/>
      <c r="GXF29" s="133"/>
      <c r="GXG29" s="133"/>
      <c r="GXH29" s="133"/>
      <c r="GXI29" s="133"/>
      <c r="GXJ29" s="133"/>
      <c r="GXK29" s="133"/>
      <c r="GXL29" s="133"/>
      <c r="GXM29" s="133"/>
      <c r="GXN29" s="133"/>
      <c r="GXO29" s="133"/>
      <c r="GXP29" s="133"/>
      <c r="GXQ29" s="133"/>
      <c r="GXR29" s="133"/>
      <c r="GXS29" s="133"/>
      <c r="GXT29" s="133"/>
      <c r="GXU29" s="133"/>
      <c r="GXV29" s="133"/>
      <c r="GXW29" s="133"/>
      <c r="GXX29" s="133"/>
      <c r="GXY29" s="133"/>
      <c r="GXZ29" s="133"/>
      <c r="GYA29" s="133"/>
      <c r="GYB29" s="133"/>
      <c r="GYC29" s="133"/>
      <c r="GYD29" s="133"/>
      <c r="GYE29" s="133"/>
      <c r="GYF29" s="133"/>
      <c r="GYG29" s="133"/>
      <c r="GYH29" s="133"/>
      <c r="GYI29" s="133"/>
      <c r="GYJ29" s="133"/>
      <c r="GYK29" s="133"/>
      <c r="GYL29" s="133"/>
      <c r="GYM29" s="133"/>
      <c r="GYN29" s="133"/>
      <c r="GYO29" s="133"/>
      <c r="GYP29" s="133"/>
      <c r="GYQ29" s="133"/>
      <c r="GYR29" s="133"/>
      <c r="GYS29" s="133"/>
      <c r="GYT29" s="133"/>
      <c r="GYU29" s="133"/>
      <c r="GYV29" s="133"/>
      <c r="GYW29" s="133"/>
      <c r="GYX29" s="133"/>
      <c r="GYY29" s="133"/>
      <c r="GYZ29" s="133"/>
      <c r="GZA29" s="133"/>
      <c r="GZB29" s="133"/>
      <c r="GZC29" s="133"/>
      <c r="GZD29" s="133"/>
      <c r="GZE29" s="133"/>
      <c r="GZF29" s="133"/>
      <c r="GZG29" s="133"/>
      <c r="GZH29" s="133"/>
      <c r="GZI29" s="133"/>
      <c r="GZJ29" s="133"/>
      <c r="GZK29" s="133"/>
      <c r="GZL29" s="133"/>
      <c r="GZM29" s="133"/>
      <c r="GZN29" s="133"/>
      <c r="GZO29" s="133"/>
      <c r="GZP29" s="133"/>
      <c r="GZQ29" s="133"/>
      <c r="GZR29" s="133"/>
      <c r="GZS29" s="133"/>
      <c r="GZT29" s="133"/>
      <c r="GZU29" s="133"/>
      <c r="GZV29" s="133"/>
      <c r="GZW29" s="133"/>
      <c r="GZX29" s="133"/>
      <c r="GZY29" s="133"/>
      <c r="GZZ29" s="133"/>
      <c r="HAA29" s="133"/>
      <c r="HAB29" s="133"/>
      <c r="HAC29" s="133"/>
      <c r="HAD29" s="133"/>
      <c r="HAE29" s="133"/>
      <c r="HAF29" s="133"/>
      <c r="HAG29" s="133"/>
      <c r="HAH29" s="133"/>
      <c r="HAI29" s="133"/>
      <c r="HAJ29" s="133"/>
      <c r="HAK29" s="133"/>
      <c r="HAL29" s="133"/>
      <c r="HAM29" s="133"/>
      <c r="HAN29" s="133"/>
      <c r="HAO29" s="133"/>
      <c r="HAP29" s="133"/>
      <c r="HAQ29" s="133"/>
      <c r="HAR29" s="133"/>
      <c r="HAS29" s="133"/>
      <c r="HAT29" s="133"/>
      <c r="HAU29" s="133"/>
      <c r="HAV29" s="133"/>
      <c r="HAW29" s="133"/>
      <c r="HAX29" s="133"/>
      <c r="HAY29" s="133"/>
      <c r="HAZ29" s="133"/>
      <c r="HBA29" s="133"/>
      <c r="HBB29" s="133"/>
      <c r="HBC29" s="133"/>
      <c r="HBD29" s="133"/>
      <c r="HBE29" s="133"/>
      <c r="HBF29" s="133"/>
      <c r="HBG29" s="133"/>
      <c r="HBH29" s="133"/>
      <c r="HBI29" s="133"/>
      <c r="HBJ29" s="133"/>
      <c r="HBK29" s="133"/>
      <c r="HBL29" s="133"/>
      <c r="HBM29" s="133"/>
      <c r="HBN29" s="133"/>
      <c r="HBO29" s="133"/>
      <c r="HBP29" s="133"/>
      <c r="HBQ29" s="133"/>
      <c r="HBR29" s="133"/>
      <c r="HBS29" s="133"/>
      <c r="HBT29" s="133"/>
      <c r="HBU29" s="133"/>
      <c r="HBV29" s="133"/>
      <c r="HBW29" s="133"/>
      <c r="HBX29" s="133"/>
      <c r="HBY29" s="133"/>
      <c r="HBZ29" s="133"/>
      <c r="HCA29" s="133"/>
      <c r="HCB29" s="133"/>
      <c r="HCC29" s="133"/>
      <c r="HCD29" s="133"/>
      <c r="HCE29" s="133"/>
      <c r="HCF29" s="133"/>
      <c r="HCG29" s="133"/>
      <c r="HCH29" s="133"/>
      <c r="HCI29" s="133"/>
      <c r="HCJ29" s="133"/>
      <c r="HCK29" s="133"/>
      <c r="HCL29" s="133"/>
      <c r="HCM29" s="133"/>
      <c r="HCN29" s="133"/>
      <c r="HCO29" s="133"/>
      <c r="HCP29" s="133"/>
      <c r="HCQ29" s="133"/>
      <c r="HCR29" s="133"/>
      <c r="HCS29" s="133"/>
      <c r="HCT29" s="133"/>
      <c r="HCU29" s="133"/>
      <c r="HCV29" s="133"/>
      <c r="HCW29" s="133"/>
      <c r="HCX29" s="133"/>
      <c r="HCY29" s="133"/>
      <c r="HCZ29" s="133"/>
      <c r="HDA29" s="133"/>
      <c r="HDB29" s="133"/>
      <c r="HDC29" s="133"/>
      <c r="HDD29" s="133"/>
      <c r="HDE29" s="133"/>
      <c r="HDF29" s="133"/>
      <c r="HDG29" s="133"/>
      <c r="HDH29" s="133"/>
      <c r="HDI29" s="133"/>
      <c r="HDJ29" s="133"/>
      <c r="HDK29" s="133"/>
      <c r="HDL29" s="133"/>
      <c r="HDM29" s="133"/>
      <c r="HDN29" s="133"/>
      <c r="HDO29" s="133"/>
      <c r="HDP29" s="133"/>
      <c r="HDQ29" s="133"/>
      <c r="HDR29" s="133"/>
      <c r="HDS29" s="133"/>
      <c r="HDT29" s="133"/>
      <c r="HDU29" s="133"/>
      <c r="HDV29" s="133"/>
      <c r="HDW29" s="133"/>
      <c r="HDX29" s="133"/>
      <c r="HDY29" s="133"/>
      <c r="HDZ29" s="133"/>
      <c r="HEA29" s="133"/>
      <c r="HEB29" s="133"/>
      <c r="HEC29" s="133"/>
      <c r="HED29" s="133"/>
      <c r="HEE29" s="133"/>
      <c r="HEF29" s="133"/>
      <c r="HEG29" s="133"/>
      <c r="HEH29" s="133"/>
      <c r="HEI29" s="133"/>
      <c r="HEJ29" s="133"/>
      <c r="HEK29" s="133"/>
      <c r="HEL29" s="133"/>
      <c r="HEM29" s="133"/>
      <c r="HEN29" s="133"/>
      <c r="HEO29" s="133"/>
      <c r="HEP29" s="133"/>
      <c r="HEQ29" s="133"/>
      <c r="HER29" s="133"/>
      <c r="HES29" s="133"/>
      <c r="HET29" s="133"/>
      <c r="HEU29" s="133"/>
      <c r="HEV29" s="133"/>
      <c r="HEW29" s="133"/>
      <c r="HEX29" s="133"/>
      <c r="HEY29" s="133"/>
      <c r="HEZ29" s="133"/>
      <c r="HFA29" s="133"/>
      <c r="HFB29" s="133"/>
      <c r="HFC29" s="133"/>
      <c r="HFD29" s="133"/>
      <c r="HFE29" s="133"/>
      <c r="HFF29" s="133"/>
      <c r="HFG29" s="133"/>
      <c r="HFH29" s="133"/>
      <c r="HFI29" s="133"/>
      <c r="HFJ29" s="133"/>
      <c r="HFK29" s="133"/>
      <c r="HFL29" s="133"/>
      <c r="HFM29" s="133"/>
      <c r="HFN29" s="133"/>
      <c r="HFO29" s="133"/>
      <c r="HFP29" s="133"/>
      <c r="HFQ29" s="133"/>
      <c r="HFR29" s="133"/>
      <c r="HFS29" s="133"/>
      <c r="HFT29" s="133"/>
      <c r="HFU29" s="133"/>
      <c r="HFV29" s="133"/>
      <c r="HFW29" s="133"/>
      <c r="HFX29" s="133"/>
      <c r="HFY29" s="133"/>
      <c r="HFZ29" s="133"/>
      <c r="HGA29" s="133"/>
      <c r="HGB29" s="133"/>
      <c r="HGC29" s="133"/>
      <c r="HGD29" s="133"/>
      <c r="HGE29" s="133"/>
      <c r="HGF29" s="133"/>
      <c r="HGG29" s="133"/>
      <c r="HGH29" s="133"/>
      <c r="HGI29" s="133"/>
      <c r="HGJ29" s="133"/>
      <c r="HGK29" s="133"/>
      <c r="HGL29" s="133"/>
      <c r="HGM29" s="133"/>
      <c r="HGN29" s="133"/>
      <c r="HGO29" s="133"/>
      <c r="HGP29" s="133"/>
      <c r="HGQ29" s="133"/>
      <c r="HGR29" s="133"/>
      <c r="HGS29" s="133"/>
      <c r="HGT29" s="133"/>
      <c r="HGU29" s="133"/>
      <c r="HGV29" s="133"/>
      <c r="HGW29" s="133"/>
      <c r="HGX29" s="133"/>
      <c r="HGY29" s="133"/>
      <c r="HGZ29" s="133"/>
      <c r="HHA29" s="133"/>
      <c r="HHB29" s="133"/>
      <c r="HHC29" s="133"/>
      <c r="HHD29" s="133"/>
      <c r="HHE29" s="133"/>
      <c r="HHF29" s="133"/>
      <c r="HHG29" s="133"/>
      <c r="HHH29" s="133"/>
      <c r="HHI29" s="133"/>
      <c r="HHJ29" s="133"/>
      <c r="HHK29" s="133"/>
      <c r="HHL29" s="133"/>
      <c r="HHM29" s="133"/>
      <c r="HHN29" s="133"/>
      <c r="HHO29" s="133"/>
      <c r="HHP29" s="133"/>
      <c r="HHQ29" s="133"/>
      <c r="HHR29" s="133"/>
      <c r="HHS29" s="133"/>
      <c r="HHT29" s="133"/>
      <c r="HHU29" s="133"/>
      <c r="HHV29" s="133"/>
      <c r="HHW29" s="133"/>
      <c r="HHX29" s="133"/>
      <c r="HHY29" s="133"/>
      <c r="HHZ29" s="133"/>
      <c r="HIA29" s="133"/>
      <c r="HIB29" s="133"/>
      <c r="HIC29" s="133"/>
      <c r="HID29" s="133"/>
      <c r="HIE29" s="133"/>
      <c r="HIF29" s="133"/>
      <c r="HIG29" s="133"/>
      <c r="HIH29" s="133"/>
      <c r="HII29" s="133"/>
      <c r="HIJ29" s="133"/>
      <c r="HIK29" s="133"/>
      <c r="HIL29" s="133"/>
      <c r="HIM29" s="133"/>
      <c r="HIN29" s="133"/>
      <c r="HIO29" s="133"/>
      <c r="HIP29" s="133"/>
      <c r="HIQ29" s="133"/>
      <c r="HIR29" s="133"/>
      <c r="HIS29" s="133"/>
      <c r="HIT29" s="133"/>
      <c r="HIU29" s="133"/>
      <c r="HIV29" s="133"/>
      <c r="HIW29" s="133"/>
      <c r="HIX29" s="133"/>
      <c r="HIY29" s="133"/>
      <c r="HIZ29" s="133"/>
      <c r="HJA29" s="133"/>
      <c r="HJB29" s="133"/>
      <c r="HJC29" s="133"/>
      <c r="HJD29" s="133"/>
      <c r="HJE29" s="133"/>
      <c r="HJF29" s="133"/>
      <c r="HJG29" s="133"/>
      <c r="HJH29" s="133"/>
      <c r="HJI29" s="133"/>
      <c r="HJJ29" s="133"/>
      <c r="HJK29" s="133"/>
      <c r="HJL29" s="133"/>
      <c r="HJM29" s="133"/>
      <c r="HJN29" s="133"/>
      <c r="HJO29" s="133"/>
      <c r="HJP29" s="133"/>
      <c r="HJQ29" s="133"/>
      <c r="HJR29" s="133"/>
      <c r="HJS29" s="133"/>
      <c r="HJT29" s="133"/>
      <c r="HJU29" s="133"/>
      <c r="HJV29" s="133"/>
      <c r="HJW29" s="133"/>
      <c r="HJX29" s="133"/>
      <c r="HJY29" s="133"/>
      <c r="HJZ29" s="133"/>
      <c r="HKA29" s="133"/>
      <c r="HKB29" s="133"/>
      <c r="HKC29" s="133"/>
      <c r="HKD29" s="133"/>
      <c r="HKE29" s="133"/>
      <c r="HKF29" s="133"/>
      <c r="HKG29" s="133"/>
      <c r="HKH29" s="133"/>
      <c r="HKI29" s="133"/>
      <c r="HKJ29" s="133"/>
      <c r="HKK29" s="133"/>
      <c r="HKL29" s="133"/>
      <c r="HKM29" s="133"/>
      <c r="HKN29" s="133"/>
      <c r="HKO29" s="133"/>
      <c r="HKP29" s="133"/>
      <c r="HKQ29" s="133"/>
      <c r="HKR29" s="133"/>
      <c r="HKS29" s="133"/>
      <c r="HKT29" s="133"/>
      <c r="HKU29" s="133"/>
      <c r="HKV29" s="133"/>
      <c r="HKW29" s="133"/>
      <c r="HKX29" s="133"/>
      <c r="HKY29" s="133"/>
      <c r="HKZ29" s="133"/>
      <c r="HLA29" s="133"/>
      <c r="HLB29" s="133"/>
      <c r="HLC29" s="133"/>
      <c r="HLD29" s="133"/>
      <c r="HLE29" s="133"/>
      <c r="HLF29" s="133"/>
      <c r="HLG29" s="133"/>
      <c r="HLH29" s="133"/>
      <c r="HLI29" s="133"/>
      <c r="HLJ29" s="133"/>
      <c r="HLK29" s="133"/>
      <c r="HLL29" s="133"/>
      <c r="HLM29" s="133"/>
      <c r="HLN29" s="133"/>
      <c r="HLO29" s="133"/>
      <c r="HLP29" s="133"/>
      <c r="HLQ29" s="133"/>
      <c r="HLR29" s="133"/>
      <c r="HLS29" s="133"/>
      <c r="HLT29" s="133"/>
      <c r="HLU29" s="133"/>
      <c r="HLV29" s="133"/>
      <c r="HLW29" s="133"/>
      <c r="HLX29" s="133"/>
      <c r="HLY29" s="133"/>
      <c r="HLZ29" s="133"/>
      <c r="HMA29" s="133"/>
      <c r="HMB29" s="133"/>
      <c r="HMC29" s="133"/>
      <c r="HMD29" s="133"/>
      <c r="HME29" s="133"/>
      <c r="HMF29" s="133"/>
      <c r="HMG29" s="133"/>
      <c r="HMH29" s="133"/>
      <c r="HMI29" s="133"/>
      <c r="HMJ29" s="133"/>
      <c r="HMK29" s="133"/>
      <c r="HML29" s="133"/>
      <c r="HMM29" s="133"/>
      <c r="HMN29" s="133"/>
      <c r="HMO29" s="133"/>
      <c r="HMP29" s="133"/>
      <c r="HMQ29" s="133"/>
      <c r="HMR29" s="133"/>
      <c r="HMS29" s="133"/>
      <c r="HMT29" s="133"/>
      <c r="HMU29" s="133"/>
      <c r="HMV29" s="133"/>
      <c r="HMW29" s="133"/>
      <c r="HMX29" s="133"/>
      <c r="HMY29" s="133"/>
      <c r="HMZ29" s="133"/>
      <c r="HNA29" s="133"/>
      <c r="HNB29" s="133"/>
      <c r="HNC29" s="133"/>
      <c r="HND29" s="133"/>
      <c r="HNE29" s="133"/>
      <c r="HNF29" s="133"/>
      <c r="HNG29" s="133"/>
      <c r="HNH29" s="133"/>
      <c r="HNI29" s="133"/>
      <c r="HNJ29" s="133"/>
      <c r="HNK29" s="133"/>
      <c r="HNL29" s="133"/>
      <c r="HNM29" s="133"/>
      <c r="HNN29" s="133"/>
      <c r="HNO29" s="133"/>
      <c r="HNP29" s="133"/>
      <c r="HNQ29" s="133"/>
      <c r="HNR29" s="133"/>
      <c r="HNS29" s="133"/>
      <c r="HNT29" s="133"/>
      <c r="HNU29" s="133"/>
      <c r="HNV29" s="133"/>
      <c r="HNW29" s="133"/>
      <c r="HNX29" s="133"/>
      <c r="HNY29" s="133"/>
      <c r="HNZ29" s="133"/>
      <c r="HOA29" s="133"/>
      <c r="HOB29" s="133"/>
      <c r="HOC29" s="133"/>
      <c r="HOD29" s="133"/>
      <c r="HOE29" s="133"/>
      <c r="HOF29" s="133"/>
      <c r="HOG29" s="133"/>
      <c r="HOH29" s="133"/>
      <c r="HOI29" s="133"/>
      <c r="HOJ29" s="133"/>
      <c r="HOK29" s="133"/>
      <c r="HOL29" s="133"/>
      <c r="HOM29" s="133"/>
      <c r="HON29" s="133"/>
      <c r="HOO29" s="133"/>
      <c r="HOP29" s="133"/>
      <c r="HOQ29" s="133"/>
      <c r="HOR29" s="133"/>
      <c r="HOS29" s="133"/>
      <c r="HOT29" s="133"/>
      <c r="HOU29" s="133"/>
      <c r="HOV29" s="133"/>
      <c r="HOW29" s="133"/>
      <c r="HOX29" s="133"/>
      <c r="HOY29" s="133"/>
      <c r="HOZ29" s="133"/>
      <c r="HPA29" s="133"/>
      <c r="HPB29" s="133"/>
      <c r="HPC29" s="133"/>
      <c r="HPD29" s="133"/>
      <c r="HPE29" s="133"/>
      <c r="HPF29" s="133"/>
      <c r="HPG29" s="133"/>
      <c r="HPH29" s="133"/>
      <c r="HPI29" s="133"/>
      <c r="HPJ29" s="133"/>
      <c r="HPK29" s="133"/>
      <c r="HPL29" s="133"/>
      <c r="HPM29" s="133"/>
      <c r="HPN29" s="133"/>
      <c r="HPO29" s="133"/>
      <c r="HPP29" s="133"/>
      <c r="HPQ29" s="133"/>
      <c r="HPR29" s="133"/>
      <c r="HPS29" s="133"/>
      <c r="HPT29" s="133"/>
      <c r="HPU29" s="133"/>
      <c r="HPV29" s="133"/>
      <c r="HPW29" s="133"/>
      <c r="HPX29" s="133"/>
      <c r="HPY29" s="133"/>
      <c r="HPZ29" s="133"/>
      <c r="HQA29" s="133"/>
      <c r="HQB29" s="133"/>
      <c r="HQC29" s="133"/>
      <c r="HQD29" s="133"/>
      <c r="HQE29" s="133"/>
      <c r="HQF29" s="133"/>
      <c r="HQG29" s="133"/>
      <c r="HQH29" s="133"/>
      <c r="HQI29" s="133"/>
      <c r="HQJ29" s="133"/>
      <c r="HQK29" s="133"/>
      <c r="HQL29" s="133"/>
      <c r="HQM29" s="133"/>
      <c r="HQN29" s="133"/>
      <c r="HQO29" s="133"/>
      <c r="HQP29" s="133"/>
      <c r="HQQ29" s="133"/>
      <c r="HQR29" s="133"/>
      <c r="HQS29" s="133"/>
      <c r="HQT29" s="133"/>
      <c r="HQU29" s="133"/>
      <c r="HQV29" s="133"/>
      <c r="HQW29" s="133"/>
      <c r="HQX29" s="133"/>
      <c r="HQY29" s="133"/>
      <c r="HQZ29" s="133"/>
      <c r="HRA29" s="133"/>
      <c r="HRB29" s="133"/>
      <c r="HRC29" s="133"/>
      <c r="HRD29" s="133"/>
      <c r="HRE29" s="133"/>
      <c r="HRF29" s="133"/>
      <c r="HRG29" s="133"/>
      <c r="HRH29" s="133"/>
      <c r="HRI29" s="133"/>
      <c r="HRJ29" s="133"/>
      <c r="HRK29" s="133"/>
      <c r="HRL29" s="133"/>
      <c r="HRM29" s="133"/>
      <c r="HRN29" s="133"/>
      <c r="HRO29" s="133"/>
      <c r="HRP29" s="133"/>
      <c r="HRQ29" s="133"/>
      <c r="HRR29" s="133"/>
      <c r="HRS29" s="133"/>
      <c r="HRT29" s="133"/>
      <c r="HRU29" s="133"/>
      <c r="HRV29" s="133"/>
      <c r="HRW29" s="133"/>
      <c r="HRX29" s="133"/>
      <c r="HRY29" s="133"/>
      <c r="HRZ29" s="133"/>
      <c r="HSA29" s="133"/>
      <c r="HSB29" s="133"/>
      <c r="HSC29" s="133"/>
      <c r="HSD29" s="133"/>
      <c r="HSE29" s="133"/>
      <c r="HSF29" s="133"/>
      <c r="HSG29" s="133"/>
      <c r="HSH29" s="133"/>
      <c r="HSI29" s="133"/>
      <c r="HSJ29" s="133"/>
      <c r="HSK29" s="133"/>
      <c r="HSL29" s="133"/>
      <c r="HSM29" s="133"/>
      <c r="HSN29" s="133"/>
      <c r="HSO29" s="133"/>
      <c r="HSP29" s="133"/>
      <c r="HSQ29" s="133"/>
      <c r="HSR29" s="133"/>
      <c r="HSS29" s="133"/>
      <c r="HST29" s="133"/>
      <c r="HSU29" s="133"/>
      <c r="HSV29" s="133"/>
      <c r="HSW29" s="133"/>
      <c r="HSX29" s="133"/>
      <c r="HSY29" s="133"/>
      <c r="HSZ29" s="133"/>
      <c r="HTA29" s="133"/>
      <c r="HTB29" s="133"/>
      <c r="HTC29" s="133"/>
      <c r="HTD29" s="133"/>
      <c r="HTE29" s="133"/>
      <c r="HTF29" s="133"/>
      <c r="HTG29" s="133"/>
      <c r="HTH29" s="133"/>
      <c r="HTI29" s="133"/>
      <c r="HTJ29" s="133"/>
      <c r="HTK29" s="133"/>
      <c r="HTL29" s="133"/>
      <c r="HTM29" s="133"/>
      <c r="HTN29" s="133"/>
      <c r="HTO29" s="133"/>
      <c r="HTP29" s="133"/>
      <c r="HTQ29" s="133"/>
      <c r="HTR29" s="133"/>
      <c r="HTS29" s="133"/>
      <c r="HTT29" s="133"/>
      <c r="HTU29" s="133"/>
      <c r="HTV29" s="133"/>
      <c r="HTW29" s="133"/>
      <c r="HTX29" s="133"/>
      <c r="HTY29" s="133"/>
      <c r="HTZ29" s="133"/>
      <c r="HUA29" s="133"/>
      <c r="HUB29" s="133"/>
      <c r="HUC29" s="133"/>
      <c r="HUD29" s="133"/>
      <c r="HUE29" s="133"/>
      <c r="HUF29" s="133"/>
      <c r="HUG29" s="133"/>
      <c r="HUH29" s="133"/>
      <c r="HUI29" s="133"/>
      <c r="HUJ29" s="133"/>
      <c r="HUK29" s="133"/>
      <c r="HUL29" s="133"/>
      <c r="HUM29" s="133"/>
      <c r="HUN29" s="133"/>
      <c r="HUO29" s="133"/>
      <c r="HUP29" s="133"/>
      <c r="HUQ29" s="133"/>
      <c r="HUR29" s="133"/>
      <c r="HUS29" s="133"/>
      <c r="HUT29" s="133"/>
      <c r="HUU29" s="133"/>
      <c r="HUV29" s="133"/>
      <c r="HUW29" s="133"/>
      <c r="HUX29" s="133"/>
      <c r="HUY29" s="133"/>
      <c r="HUZ29" s="133"/>
      <c r="HVA29" s="133"/>
      <c r="HVB29" s="133"/>
      <c r="HVC29" s="133"/>
      <c r="HVD29" s="133"/>
      <c r="HVE29" s="133"/>
      <c r="HVF29" s="133"/>
      <c r="HVG29" s="133"/>
      <c r="HVH29" s="133"/>
      <c r="HVI29" s="133"/>
      <c r="HVJ29" s="133"/>
      <c r="HVK29" s="133"/>
      <c r="HVL29" s="133"/>
      <c r="HVM29" s="133"/>
      <c r="HVN29" s="133"/>
      <c r="HVO29" s="133"/>
      <c r="HVP29" s="133"/>
      <c r="HVQ29" s="133"/>
      <c r="HVR29" s="133"/>
      <c r="HVS29" s="133"/>
      <c r="HVT29" s="133"/>
      <c r="HVU29" s="133"/>
      <c r="HVV29" s="133"/>
      <c r="HVW29" s="133"/>
      <c r="HVX29" s="133"/>
      <c r="HVY29" s="133"/>
      <c r="HVZ29" s="133"/>
      <c r="HWA29" s="133"/>
      <c r="HWB29" s="133"/>
      <c r="HWC29" s="133"/>
      <c r="HWD29" s="133"/>
      <c r="HWE29" s="133"/>
      <c r="HWF29" s="133"/>
      <c r="HWG29" s="133"/>
      <c r="HWH29" s="133"/>
      <c r="HWI29" s="133"/>
      <c r="HWJ29" s="133"/>
      <c r="HWK29" s="133"/>
      <c r="HWL29" s="133"/>
      <c r="HWM29" s="133"/>
      <c r="HWN29" s="133"/>
      <c r="HWO29" s="133"/>
      <c r="HWP29" s="133"/>
      <c r="HWQ29" s="133"/>
      <c r="HWR29" s="133"/>
      <c r="HWS29" s="133"/>
      <c r="HWT29" s="133"/>
      <c r="HWU29" s="133"/>
      <c r="HWV29" s="133"/>
      <c r="HWW29" s="133"/>
      <c r="HWX29" s="133"/>
      <c r="HWY29" s="133"/>
      <c r="HWZ29" s="133"/>
      <c r="HXA29" s="133"/>
      <c r="HXB29" s="133"/>
      <c r="HXC29" s="133"/>
      <c r="HXD29" s="133"/>
      <c r="HXE29" s="133"/>
      <c r="HXF29" s="133"/>
      <c r="HXG29" s="133"/>
      <c r="HXH29" s="133"/>
      <c r="HXI29" s="133"/>
      <c r="HXJ29" s="133"/>
      <c r="HXK29" s="133"/>
      <c r="HXL29" s="133"/>
      <c r="HXM29" s="133"/>
      <c r="HXN29" s="133"/>
      <c r="HXO29" s="133"/>
      <c r="HXP29" s="133"/>
      <c r="HXQ29" s="133"/>
      <c r="HXR29" s="133"/>
      <c r="HXS29" s="133"/>
      <c r="HXT29" s="133"/>
      <c r="HXU29" s="133"/>
      <c r="HXV29" s="133"/>
      <c r="HXW29" s="133"/>
      <c r="HXX29" s="133"/>
      <c r="HXY29" s="133"/>
      <c r="HXZ29" s="133"/>
      <c r="HYA29" s="133"/>
      <c r="HYB29" s="133"/>
      <c r="HYC29" s="133"/>
      <c r="HYD29" s="133"/>
      <c r="HYE29" s="133"/>
      <c r="HYF29" s="133"/>
      <c r="HYG29" s="133"/>
      <c r="HYH29" s="133"/>
      <c r="HYI29" s="133"/>
      <c r="HYJ29" s="133"/>
      <c r="HYK29" s="133"/>
      <c r="HYL29" s="133"/>
      <c r="HYM29" s="133"/>
      <c r="HYN29" s="133"/>
      <c r="HYO29" s="133"/>
      <c r="HYP29" s="133"/>
      <c r="HYQ29" s="133"/>
      <c r="HYR29" s="133"/>
      <c r="HYS29" s="133"/>
      <c r="HYT29" s="133"/>
      <c r="HYU29" s="133"/>
      <c r="HYV29" s="133"/>
      <c r="HYW29" s="133"/>
      <c r="HYX29" s="133"/>
      <c r="HYY29" s="133"/>
      <c r="HYZ29" s="133"/>
      <c r="HZA29" s="133"/>
      <c r="HZB29" s="133"/>
      <c r="HZC29" s="133"/>
      <c r="HZD29" s="133"/>
      <c r="HZE29" s="133"/>
      <c r="HZF29" s="133"/>
      <c r="HZG29" s="133"/>
      <c r="HZH29" s="133"/>
      <c r="HZI29" s="133"/>
      <c r="HZJ29" s="133"/>
      <c r="HZK29" s="133"/>
      <c r="HZL29" s="133"/>
      <c r="HZM29" s="133"/>
      <c r="HZN29" s="133"/>
      <c r="HZO29" s="133"/>
      <c r="HZP29" s="133"/>
      <c r="HZQ29" s="133"/>
      <c r="HZR29" s="133"/>
      <c r="HZS29" s="133"/>
      <c r="HZT29" s="133"/>
      <c r="HZU29" s="133"/>
      <c r="HZV29" s="133"/>
      <c r="HZW29" s="133"/>
      <c r="HZX29" s="133"/>
      <c r="HZY29" s="133"/>
      <c r="HZZ29" s="133"/>
      <c r="IAA29" s="133"/>
      <c r="IAB29" s="133"/>
      <c r="IAC29" s="133"/>
      <c r="IAD29" s="133"/>
      <c r="IAE29" s="133"/>
      <c r="IAF29" s="133"/>
      <c r="IAG29" s="133"/>
      <c r="IAH29" s="133"/>
      <c r="IAI29" s="133"/>
      <c r="IAJ29" s="133"/>
      <c r="IAK29" s="133"/>
      <c r="IAL29" s="133"/>
      <c r="IAM29" s="133"/>
      <c r="IAN29" s="133"/>
      <c r="IAO29" s="133"/>
      <c r="IAP29" s="133"/>
      <c r="IAQ29" s="133"/>
      <c r="IAR29" s="133"/>
      <c r="IAS29" s="133"/>
      <c r="IAT29" s="133"/>
      <c r="IAU29" s="133"/>
      <c r="IAV29" s="133"/>
      <c r="IAW29" s="133"/>
      <c r="IAX29" s="133"/>
      <c r="IAY29" s="133"/>
      <c r="IAZ29" s="133"/>
      <c r="IBA29" s="133"/>
      <c r="IBB29" s="133"/>
      <c r="IBC29" s="133"/>
      <c r="IBD29" s="133"/>
      <c r="IBE29" s="133"/>
      <c r="IBF29" s="133"/>
      <c r="IBG29" s="133"/>
      <c r="IBH29" s="133"/>
      <c r="IBI29" s="133"/>
      <c r="IBJ29" s="133"/>
      <c r="IBK29" s="133"/>
      <c r="IBL29" s="133"/>
      <c r="IBM29" s="133"/>
      <c r="IBN29" s="133"/>
      <c r="IBO29" s="133"/>
      <c r="IBP29" s="133"/>
      <c r="IBQ29" s="133"/>
      <c r="IBR29" s="133"/>
      <c r="IBS29" s="133"/>
      <c r="IBT29" s="133"/>
      <c r="IBU29" s="133"/>
      <c r="IBV29" s="133"/>
      <c r="IBW29" s="133"/>
      <c r="IBX29" s="133"/>
      <c r="IBY29" s="133"/>
      <c r="IBZ29" s="133"/>
      <c r="ICA29" s="133"/>
      <c r="ICB29" s="133"/>
      <c r="ICC29" s="133"/>
      <c r="ICD29" s="133"/>
      <c r="ICE29" s="133"/>
      <c r="ICF29" s="133"/>
      <c r="ICG29" s="133"/>
      <c r="ICH29" s="133"/>
      <c r="ICI29" s="133"/>
      <c r="ICJ29" s="133"/>
      <c r="ICK29" s="133"/>
      <c r="ICL29" s="133"/>
      <c r="ICM29" s="133"/>
      <c r="ICN29" s="133"/>
      <c r="ICO29" s="133"/>
      <c r="ICP29" s="133"/>
      <c r="ICQ29" s="133"/>
      <c r="ICR29" s="133"/>
      <c r="ICS29" s="133"/>
      <c r="ICT29" s="133"/>
      <c r="ICU29" s="133"/>
      <c r="ICV29" s="133"/>
      <c r="ICW29" s="133"/>
      <c r="ICX29" s="133"/>
      <c r="ICY29" s="133"/>
      <c r="ICZ29" s="133"/>
      <c r="IDA29" s="133"/>
      <c r="IDB29" s="133"/>
      <c r="IDC29" s="133"/>
      <c r="IDD29" s="133"/>
      <c r="IDE29" s="133"/>
      <c r="IDF29" s="133"/>
      <c r="IDG29" s="133"/>
      <c r="IDH29" s="133"/>
      <c r="IDI29" s="133"/>
      <c r="IDJ29" s="133"/>
      <c r="IDK29" s="133"/>
      <c r="IDL29" s="133"/>
      <c r="IDM29" s="133"/>
      <c r="IDN29" s="133"/>
      <c r="IDO29" s="133"/>
      <c r="IDP29" s="133"/>
      <c r="IDQ29" s="133"/>
      <c r="IDR29" s="133"/>
      <c r="IDS29" s="133"/>
      <c r="IDT29" s="133"/>
      <c r="IDU29" s="133"/>
      <c r="IDV29" s="133"/>
      <c r="IDW29" s="133"/>
      <c r="IDX29" s="133"/>
      <c r="IDY29" s="133"/>
      <c r="IDZ29" s="133"/>
      <c r="IEA29" s="133"/>
      <c r="IEB29" s="133"/>
      <c r="IEC29" s="133"/>
      <c r="IED29" s="133"/>
      <c r="IEE29" s="133"/>
      <c r="IEF29" s="133"/>
      <c r="IEG29" s="133"/>
      <c r="IEH29" s="133"/>
      <c r="IEI29" s="133"/>
      <c r="IEJ29" s="133"/>
      <c r="IEK29" s="133"/>
      <c r="IEL29" s="133"/>
      <c r="IEM29" s="133"/>
      <c r="IEN29" s="133"/>
      <c r="IEO29" s="133"/>
      <c r="IEP29" s="133"/>
      <c r="IEQ29" s="133"/>
      <c r="IER29" s="133"/>
      <c r="IES29" s="133"/>
      <c r="IET29" s="133"/>
      <c r="IEU29" s="133"/>
      <c r="IEV29" s="133"/>
      <c r="IEW29" s="133"/>
      <c r="IEX29" s="133"/>
      <c r="IEY29" s="133"/>
      <c r="IEZ29" s="133"/>
      <c r="IFA29" s="133"/>
      <c r="IFB29" s="133"/>
      <c r="IFC29" s="133"/>
      <c r="IFD29" s="133"/>
      <c r="IFE29" s="133"/>
      <c r="IFF29" s="133"/>
      <c r="IFG29" s="133"/>
      <c r="IFH29" s="133"/>
      <c r="IFI29" s="133"/>
      <c r="IFJ29" s="133"/>
      <c r="IFK29" s="133"/>
      <c r="IFL29" s="133"/>
      <c r="IFM29" s="133"/>
      <c r="IFN29" s="133"/>
      <c r="IFO29" s="133"/>
      <c r="IFP29" s="133"/>
      <c r="IFQ29" s="133"/>
      <c r="IFR29" s="133"/>
      <c r="IFS29" s="133"/>
      <c r="IFT29" s="133"/>
      <c r="IFU29" s="133"/>
      <c r="IFV29" s="133"/>
      <c r="IFW29" s="133"/>
      <c r="IFX29" s="133"/>
      <c r="IFY29" s="133"/>
      <c r="IFZ29" s="133"/>
      <c r="IGA29" s="133"/>
      <c r="IGB29" s="133"/>
      <c r="IGC29" s="133"/>
      <c r="IGD29" s="133"/>
      <c r="IGE29" s="133"/>
      <c r="IGF29" s="133"/>
      <c r="IGG29" s="133"/>
      <c r="IGH29" s="133"/>
      <c r="IGI29" s="133"/>
      <c r="IGJ29" s="133"/>
      <c r="IGK29" s="133"/>
      <c r="IGL29" s="133"/>
      <c r="IGM29" s="133"/>
      <c r="IGN29" s="133"/>
      <c r="IGO29" s="133"/>
      <c r="IGP29" s="133"/>
      <c r="IGQ29" s="133"/>
      <c r="IGR29" s="133"/>
      <c r="IGS29" s="133"/>
      <c r="IGT29" s="133"/>
      <c r="IGU29" s="133"/>
      <c r="IGV29" s="133"/>
      <c r="IGW29" s="133"/>
      <c r="IGX29" s="133"/>
      <c r="IGY29" s="133"/>
      <c r="IGZ29" s="133"/>
      <c r="IHA29" s="133"/>
      <c r="IHB29" s="133"/>
      <c r="IHC29" s="133"/>
      <c r="IHD29" s="133"/>
      <c r="IHE29" s="133"/>
      <c r="IHF29" s="133"/>
      <c r="IHG29" s="133"/>
      <c r="IHH29" s="133"/>
      <c r="IHI29" s="133"/>
      <c r="IHJ29" s="133"/>
      <c r="IHK29" s="133"/>
      <c r="IHL29" s="133"/>
      <c r="IHM29" s="133"/>
      <c r="IHN29" s="133"/>
      <c r="IHO29" s="133"/>
      <c r="IHP29" s="133"/>
      <c r="IHQ29" s="133"/>
      <c r="IHR29" s="133"/>
      <c r="IHS29" s="133"/>
      <c r="IHT29" s="133"/>
      <c r="IHU29" s="133"/>
      <c r="IHV29" s="133"/>
      <c r="IHW29" s="133"/>
      <c r="IHX29" s="133"/>
      <c r="IHY29" s="133"/>
      <c r="IHZ29" s="133"/>
      <c r="IIA29" s="133"/>
      <c r="IIB29" s="133"/>
      <c r="IIC29" s="133"/>
      <c r="IID29" s="133"/>
      <c r="IIE29" s="133"/>
      <c r="IIF29" s="133"/>
      <c r="IIG29" s="133"/>
      <c r="IIH29" s="133"/>
      <c r="III29" s="133"/>
      <c r="IIJ29" s="133"/>
      <c r="IIK29" s="133"/>
      <c r="IIL29" s="133"/>
      <c r="IIM29" s="133"/>
      <c r="IIN29" s="133"/>
      <c r="IIO29" s="133"/>
      <c r="IIP29" s="133"/>
      <c r="IIQ29" s="133"/>
      <c r="IIR29" s="133"/>
      <c r="IIS29" s="133"/>
      <c r="IIT29" s="133"/>
      <c r="IIU29" s="133"/>
      <c r="IIV29" s="133"/>
      <c r="IIW29" s="133"/>
      <c r="IIX29" s="133"/>
      <c r="IIY29" s="133"/>
      <c r="IIZ29" s="133"/>
      <c r="IJA29" s="133"/>
      <c r="IJB29" s="133"/>
      <c r="IJC29" s="133"/>
      <c r="IJD29" s="133"/>
      <c r="IJE29" s="133"/>
      <c r="IJF29" s="133"/>
      <c r="IJG29" s="133"/>
      <c r="IJH29" s="133"/>
      <c r="IJI29" s="133"/>
      <c r="IJJ29" s="133"/>
      <c r="IJK29" s="133"/>
      <c r="IJL29" s="133"/>
      <c r="IJM29" s="133"/>
      <c r="IJN29" s="133"/>
      <c r="IJO29" s="133"/>
      <c r="IJP29" s="133"/>
      <c r="IJQ29" s="133"/>
      <c r="IJR29" s="133"/>
      <c r="IJS29" s="133"/>
      <c r="IJT29" s="133"/>
      <c r="IJU29" s="133"/>
      <c r="IJV29" s="133"/>
      <c r="IJW29" s="133"/>
      <c r="IJX29" s="133"/>
      <c r="IJY29" s="133"/>
      <c r="IJZ29" s="133"/>
      <c r="IKA29" s="133"/>
      <c r="IKB29" s="133"/>
      <c r="IKC29" s="133"/>
      <c r="IKD29" s="133"/>
      <c r="IKE29" s="133"/>
      <c r="IKF29" s="133"/>
      <c r="IKG29" s="133"/>
      <c r="IKH29" s="133"/>
      <c r="IKI29" s="133"/>
      <c r="IKJ29" s="133"/>
      <c r="IKK29" s="133"/>
      <c r="IKL29" s="133"/>
      <c r="IKM29" s="133"/>
      <c r="IKN29" s="133"/>
      <c r="IKO29" s="133"/>
      <c r="IKP29" s="133"/>
      <c r="IKQ29" s="133"/>
      <c r="IKR29" s="133"/>
      <c r="IKS29" s="133"/>
      <c r="IKT29" s="133"/>
      <c r="IKU29" s="133"/>
      <c r="IKV29" s="133"/>
      <c r="IKW29" s="133"/>
      <c r="IKX29" s="133"/>
      <c r="IKY29" s="133"/>
      <c r="IKZ29" s="133"/>
      <c r="ILA29" s="133"/>
      <c r="ILB29" s="133"/>
      <c r="ILC29" s="133"/>
      <c r="ILD29" s="133"/>
      <c r="ILE29" s="133"/>
      <c r="ILF29" s="133"/>
      <c r="ILG29" s="133"/>
      <c r="ILH29" s="133"/>
      <c r="ILI29" s="133"/>
      <c r="ILJ29" s="133"/>
      <c r="ILK29" s="133"/>
      <c r="ILL29" s="133"/>
      <c r="ILM29" s="133"/>
      <c r="ILN29" s="133"/>
      <c r="ILO29" s="133"/>
      <c r="ILP29" s="133"/>
      <c r="ILQ29" s="133"/>
      <c r="ILR29" s="133"/>
      <c r="ILS29" s="133"/>
      <c r="ILT29" s="133"/>
      <c r="ILU29" s="133"/>
      <c r="ILV29" s="133"/>
      <c r="ILW29" s="133"/>
      <c r="ILX29" s="133"/>
      <c r="ILY29" s="133"/>
      <c r="ILZ29" s="133"/>
      <c r="IMA29" s="133"/>
      <c r="IMB29" s="133"/>
      <c r="IMC29" s="133"/>
      <c r="IMD29" s="133"/>
      <c r="IME29" s="133"/>
      <c r="IMF29" s="133"/>
      <c r="IMG29" s="133"/>
      <c r="IMH29" s="133"/>
      <c r="IMI29" s="133"/>
      <c r="IMJ29" s="133"/>
      <c r="IMK29" s="133"/>
      <c r="IML29" s="133"/>
      <c r="IMM29" s="133"/>
      <c r="IMN29" s="133"/>
      <c r="IMO29" s="133"/>
      <c r="IMP29" s="133"/>
      <c r="IMQ29" s="133"/>
      <c r="IMR29" s="133"/>
      <c r="IMS29" s="133"/>
      <c r="IMT29" s="133"/>
      <c r="IMU29" s="133"/>
      <c r="IMV29" s="133"/>
      <c r="IMW29" s="133"/>
      <c r="IMX29" s="133"/>
      <c r="IMY29" s="133"/>
      <c r="IMZ29" s="133"/>
      <c r="INA29" s="133"/>
      <c r="INB29" s="133"/>
      <c r="INC29" s="133"/>
      <c r="IND29" s="133"/>
      <c r="INE29" s="133"/>
      <c r="INF29" s="133"/>
      <c r="ING29" s="133"/>
      <c r="INH29" s="133"/>
      <c r="INI29" s="133"/>
      <c r="INJ29" s="133"/>
      <c r="INK29" s="133"/>
      <c r="INL29" s="133"/>
      <c r="INM29" s="133"/>
      <c r="INN29" s="133"/>
      <c r="INO29" s="133"/>
      <c r="INP29" s="133"/>
      <c r="INQ29" s="133"/>
      <c r="INR29" s="133"/>
      <c r="INS29" s="133"/>
      <c r="INT29" s="133"/>
      <c r="INU29" s="133"/>
      <c r="INV29" s="133"/>
      <c r="INW29" s="133"/>
      <c r="INX29" s="133"/>
      <c r="INY29" s="133"/>
      <c r="INZ29" s="133"/>
      <c r="IOA29" s="133"/>
      <c r="IOB29" s="133"/>
      <c r="IOC29" s="133"/>
      <c r="IOD29" s="133"/>
      <c r="IOE29" s="133"/>
      <c r="IOF29" s="133"/>
      <c r="IOG29" s="133"/>
      <c r="IOH29" s="133"/>
      <c r="IOI29" s="133"/>
      <c r="IOJ29" s="133"/>
      <c r="IOK29" s="133"/>
      <c r="IOL29" s="133"/>
      <c r="IOM29" s="133"/>
      <c r="ION29" s="133"/>
      <c r="IOO29" s="133"/>
      <c r="IOP29" s="133"/>
      <c r="IOQ29" s="133"/>
      <c r="IOR29" s="133"/>
      <c r="IOS29" s="133"/>
      <c r="IOT29" s="133"/>
      <c r="IOU29" s="133"/>
      <c r="IOV29" s="133"/>
      <c r="IOW29" s="133"/>
      <c r="IOX29" s="133"/>
      <c r="IOY29" s="133"/>
      <c r="IOZ29" s="133"/>
      <c r="IPA29" s="133"/>
      <c r="IPB29" s="133"/>
      <c r="IPC29" s="133"/>
      <c r="IPD29" s="133"/>
      <c r="IPE29" s="133"/>
      <c r="IPF29" s="133"/>
      <c r="IPG29" s="133"/>
      <c r="IPH29" s="133"/>
      <c r="IPI29" s="133"/>
      <c r="IPJ29" s="133"/>
      <c r="IPK29" s="133"/>
      <c r="IPL29" s="133"/>
      <c r="IPM29" s="133"/>
      <c r="IPN29" s="133"/>
      <c r="IPO29" s="133"/>
      <c r="IPP29" s="133"/>
      <c r="IPQ29" s="133"/>
      <c r="IPR29" s="133"/>
      <c r="IPS29" s="133"/>
      <c r="IPT29" s="133"/>
      <c r="IPU29" s="133"/>
      <c r="IPV29" s="133"/>
      <c r="IPW29" s="133"/>
      <c r="IPX29" s="133"/>
      <c r="IPY29" s="133"/>
      <c r="IPZ29" s="133"/>
      <c r="IQA29" s="133"/>
      <c r="IQB29" s="133"/>
      <c r="IQC29" s="133"/>
      <c r="IQD29" s="133"/>
      <c r="IQE29" s="133"/>
      <c r="IQF29" s="133"/>
      <c r="IQG29" s="133"/>
      <c r="IQH29" s="133"/>
      <c r="IQI29" s="133"/>
      <c r="IQJ29" s="133"/>
      <c r="IQK29" s="133"/>
      <c r="IQL29" s="133"/>
      <c r="IQM29" s="133"/>
      <c r="IQN29" s="133"/>
      <c r="IQO29" s="133"/>
      <c r="IQP29" s="133"/>
      <c r="IQQ29" s="133"/>
      <c r="IQR29" s="133"/>
      <c r="IQS29" s="133"/>
      <c r="IQT29" s="133"/>
      <c r="IQU29" s="133"/>
      <c r="IQV29" s="133"/>
      <c r="IQW29" s="133"/>
      <c r="IQX29" s="133"/>
      <c r="IQY29" s="133"/>
      <c r="IQZ29" s="133"/>
      <c r="IRA29" s="133"/>
      <c r="IRB29" s="133"/>
      <c r="IRC29" s="133"/>
      <c r="IRD29" s="133"/>
      <c r="IRE29" s="133"/>
      <c r="IRF29" s="133"/>
      <c r="IRG29" s="133"/>
      <c r="IRH29" s="133"/>
      <c r="IRI29" s="133"/>
      <c r="IRJ29" s="133"/>
      <c r="IRK29" s="133"/>
      <c r="IRL29" s="133"/>
      <c r="IRM29" s="133"/>
      <c r="IRN29" s="133"/>
      <c r="IRO29" s="133"/>
      <c r="IRP29" s="133"/>
      <c r="IRQ29" s="133"/>
      <c r="IRR29" s="133"/>
      <c r="IRS29" s="133"/>
      <c r="IRT29" s="133"/>
      <c r="IRU29" s="133"/>
      <c r="IRV29" s="133"/>
      <c r="IRW29" s="133"/>
      <c r="IRX29" s="133"/>
      <c r="IRY29" s="133"/>
      <c r="IRZ29" s="133"/>
      <c r="ISA29" s="133"/>
      <c r="ISB29" s="133"/>
      <c r="ISC29" s="133"/>
      <c r="ISD29" s="133"/>
      <c r="ISE29" s="133"/>
      <c r="ISF29" s="133"/>
      <c r="ISG29" s="133"/>
      <c r="ISH29" s="133"/>
      <c r="ISI29" s="133"/>
      <c r="ISJ29" s="133"/>
      <c r="ISK29" s="133"/>
      <c r="ISL29" s="133"/>
      <c r="ISM29" s="133"/>
      <c r="ISN29" s="133"/>
      <c r="ISO29" s="133"/>
      <c r="ISP29" s="133"/>
      <c r="ISQ29" s="133"/>
      <c r="ISR29" s="133"/>
      <c r="ISS29" s="133"/>
      <c r="IST29" s="133"/>
      <c r="ISU29" s="133"/>
      <c r="ISV29" s="133"/>
      <c r="ISW29" s="133"/>
      <c r="ISX29" s="133"/>
      <c r="ISY29" s="133"/>
      <c r="ISZ29" s="133"/>
      <c r="ITA29" s="133"/>
      <c r="ITB29" s="133"/>
      <c r="ITC29" s="133"/>
      <c r="ITD29" s="133"/>
      <c r="ITE29" s="133"/>
      <c r="ITF29" s="133"/>
      <c r="ITG29" s="133"/>
      <c r="ITH29" s="133"/>
      <c r="ITI29" s="133"/>
      <c r="ITJ29" s="133"/>
      <c r="ITK29" s="133"/>
      <c r="ITL29" s="133"/>
      <c r="ITM29" s="133"/>
      <c r="ITN29" s="133"/>
      <c r="ITO29" s="133"/>
      <c r="ITP29" s="133"/>
      <c r="ITQ29" s="133"/>
      <c r="ITR29" s="133"/>
      <c r="ITS29" s="133"/>
      <c r="ITT29" s="133"/>
      <c r="ITU29" s="133"/>
      <c r="ITV29" s="133"/>
      <c r="ITW29" s="133"/>
      <c r="ITX29" s="133"/>
      <c r="ITY29" s="133"/>
      <c r="ITZ29" s="133"/>
      <c r="IUA29" s="133"/>
      <c r="IUB29" s="133"/>
      <c r="IUC29" s="133"/>
      <c r="IUD29" s="133"/>
      <c r="IUE29" s="133"/>
      <c r="IUF29" s="133"/>
      <c r="IUG29" s="133"/>
      <c r="IUH29" s="133"/>
      <c r="IUI29" s="133"/>
      <c r="IUJ29" s="133"/>
      <c r="IUK29" s="133"/>
      <c r="IUL29" s="133"/>
      <c r="IUM29" s="133"/>
      <c r="IUN29" s="133"/>
      <c r="IUO29" s="133"/>
      <c r="IUP29" s="133"/>
      <c r="IUQ29" s="133"/>
      <c r="IUR29" s="133"/>
      <c r="IUS29" s="133"/>
      <c r="IUT29" s="133"/>
      <c r="IUU29" s="133"/>
      <c r="IUV29" s="133"/>
      <c r="IUW29" s="133"/>
      <c r="IUX29" s="133"/>
      <c r="IUY29" s="133"/>
      <c r="IUZ29" s="133"/>
      <c r="IVA29" s="133"/>
      <c r="IVB29" s="133"/>
      <c r="IVC29" s="133"/>
      <c r="IVD29" s="133"/>
      <c r="IVE29" s="133"/>
      <c r="IVF29" s="133"/>
      <c r="IVG29" s="133"/>
      <c r="IVH29" s="133"/>
      <c r="IVI29" s="133"/>
      <c r="IVJ29" s="133"/>
      <c r="IVK29" s="133"/>
      <c r="IVL29" s="133"/>
      <c r="IVM29" s="133"/>
      <c r="IVN29" s="133"/>
      <c r="IVO29" s="133"/>
      <c r="IVP29" s="133"/>
      <c r="IVQ29" s="133"/>
      <c r="IVR29" s="133"/>
      <c r="IVS29" s="133"/>
      <c r="IVT29" s="133"/>
      <c r="IVU29" s="133"/>
      <c r="IVV29" s="133"/>
      <c r="IVW29" s="133"/>
      <c r="IVX29" s="133"/>
      <c r="IVY29" s="133"/>
      <c r="IVZ29" s="133"/>
      <c r="IWA29" s="133"/>
      <c r="IWB29" s="133"/>
      <c r="IWC29" s="133"/>
      <c r="IWD29" s="133"/>
      <c r="IWE29" s="133"/>
      <c r="IWF29" s="133"/>
      <c r="IWG29" s="133"/>
      <c r="IWH29" s="133"/>
      <c r="IWI29" s="133"/>
      <c r="IWJ29" s="133"/>
      <c r="IWK29" s="133"/>
      <c r="IWL29" s="133"/>
      <c r="IWM29" s="133"/>
      <c r="IWN29" s="133"/>
      <c r="IWO29" s="133"/>
      <c r="IWP29" s="133"/>
      <c r="IWQ29" s="133"/>
      <c r="IWR29" s="133"/>
      <c r="IWS29" s="133"/>
      <c r="IWT29" s="133"/>
      <c r="IWU29" s="133"/>
      <c r="IWV29" s="133"/>
      <c r="IWW29" s="133"/>
      <c r="IWX29" s="133"/>
      <c r="IWY29" s="133"/>
      <c r="IWZ29" s="133"/>
      <c r="IXA29" s="133"/>
      <c r="IXB29" s="133"/>
      <c r="IXC29" s="133"/>
      <c r="IXD29" s="133"/>
      <c r="IXE29" s="133"/>
      <c r="IXF29" s="133"/>
      <c r="IXG29" s="133"/>
      <c r="IXH29" s="133"/>
      <c r="IXI29" s="133"/>
      <c r="IXJ29" s="133"/>
      <c r="IXK29" s="133"/>
      <c r="IXL29" s="133"/>
      <c r="IXM29" s="133"/>
      <c r="IXN29" s="133"/>
      <c r="IXO29" s="133"/>
      <c r="IXP29" s="133"/>
      <c r="IXQ29" s="133"/>
      <c r="IXR29" s="133"/>
      <c r="IXS29" s="133"/>
      <c r="IXT29" s="133"/>
      <c r="IXU29" s="133"/>
      <c r="IXV29" s="133"/>
      <c r="IXW29" s="133"/>
      <c r="IXX29" s="133"/>
      <c r="IXY29" s="133"/>
      <c r="IXZ29" s="133"/>
      <c r="IYA29" s="133"/>
      <c r="IYB29" s="133"/>
      <c r="IYC29" s="133"/>
      <c r="IYD29" s="133"/>
      <c r="IYE29" s="133"/>
      <c r="IYF29" s="133"/>
      <c r="IYG29" s="133"/>
      <c r="IYH29" s="133"/>
      <c r="IYI29" s="133"/>
      <c r="IYJ29" s="133"/>
      <c r="IYK29" s="133"/>
      <c r="IYL29" s="133"/>
      <c r="IYM29" s="133"/>
      <c r="IYN29" s="133"/>
      <c r="IYO29" s="133"/>
      <c r="IYP29" s="133"/>
      <c r="IYQ29" s="133"/>
      <c r="IYR29" s="133"/>
      <c r="IYS29" s="133"/>
      <c r="IYT29" s="133"/>
      <c r="IYU29" s="133"/>
      <c r="IYV29" s="133"/>
      <c r="IYW29" s="133"/>
      <c r="IYX29" s="133"/>
      <c r="IYY29" s="133"/>
      <c r="IYZ29" s="133"/>
      <c r="IZA29" s="133"/>
      <c r="IZB29" s="133"/>
      <c r="IZC29" s="133"/>
      <c r="IZD29" s="133"/>
      <c r="IZE29" s="133"/>
      <c r="IZF29" s="133"/>
      <c r="IZG29" s="133"/>
      <c r="IZH29" s="133"/>
      <c r="IZI29" s="133"/>
      <c r="IZJ29" s="133"/>
      <c r="IZK29" s="133"/>
      <c r="IZL29" s="133"/>
      <c r="IZM29" s="133"/>
      <c r="IZN29" s="133"/>
      <c r="IZO29" s="133"/>
      <c r="IZP29" s="133"/>
      <c r="IZQ29" s="133"/>
      <c r="IZR29" s="133"/>
      <c r="IZS29" s="133"/>
      <c r="IZT29" s="133"/>
      <c r="IZU29" s="133"/>
      <c r="IZV29" s="133"/>
      <c r="IZW29" s="133"/>
      <c r="IZX29" s="133"/>
      <c r="IZY29" s="133"/>
      <c r="IZZ29" s="133"/>
      <c r="JAA29" s="133"/>
      <c r="JAB29" s="133"/>
      <c r="JAC29" s="133"/>
      <c r="JAD29" s="133"/>
      <c r="JAE29" s="133"/>
      <c r="JAF29" s="133"/>
      <c r="JAG29" s="133"/>
      <c r="JAH29" s="133"/>
      <c r="JAI29" s="133"/>
      <c r="JAJ29" s="133"/>
      <c r="JAK29" s="133"/>
      <c r="JAL29" s="133"/>
      <c r="JAM29" s="133"/>
      <c r="JAN29" s="133"/>
      <c r="JAO29" s="133"/>
      <c r="JAP29" s="133"/>
      <c r="JAQ29" s="133"/>
      <c r="JAR29" s="133"/>
      <c r="JAS29" s="133"/>
      <c r="JAT29" s="133"/>
      <c r="JAU29" s="133"/>
      <c r="JAV29" s="133"/>
      <c r="JAW29" s="133"/>
      <c r="JAX29" s="133"/>
      <c r="JAY29" s="133"/>
      <c r="JAZ29" s="133"/>
      <c r="JBA29" s="133"/>
      <c r="JBB29" s="133"/>
      <c r="JBC29" s="133"/>
      <c r="JBD29" s="133"/>
      <c r="JBE29" s="133"/>
      <c r="JBF29" s="133"/>
      <c r="JBG29" s="133"/>
      <c r="JBH29" s="133"/>
      <c r="JBI29" s="133"/>
      <c r="JBJ29" s="133"/>
      <c r="JBK29" s="133"/>
      <c r="JBL29" s="133"/>
      <c r="JBM29" s="133"/>
      <c r="JBN29" s="133"/>
      <c r="JBO29" s="133"/>
      <c r="JBP29" s="133"/>
      <c r="JBQ29" s="133"/>
      <c r="JBR29" s="133"/>
      <c r="JBS29" s="133"/>
      <c r="JBT29" s="133"/>
      <c r="JBU29" s="133"/>
      <c r="JBV29" s="133"/>
      <c r="JBW29" s="133"/>
      <c r="JBX29" s="133"/>
      <c r="JBY29" s="133"/>
      <c r="JBZ29" s="133"/>
      <c r="JCA29" s="133"/>
      <c r="JCB29" s="133"/>
      <c r="JCC29" s="133"/>
      <c r="JCD29" s="133"/>
      <c r="JCE29" s="133"/>
      <c r="JCF29" s="133"/>
      <c r="JCG29" s="133"/>
      <c r="JCH29" s="133"/>
      <c r="JCI29" s="133"/>
      <c r="JCJ29" s="133"/>
      <c r="JCK29" s="133"/>
      <c r="JCL29" s="133"/>
      <c r="JCM29" s="133"/>
      <c r="JCN29" s="133"/>
      <c r="JCO29" s="133"/>
      <c r="JCP29" s="133"/>
      <c r="JCQ29" s="133"/>
      <c r="JCR29" s="133"/>
      <c r="JCS29" s="133"/>
      <c r="JCT29" s="133"/>
      <c r="JCU29" s="133"/>
      <c r="JCV29" s="133"/>
      <c r="JCW29" s="133"/>
      <c r="JCX29" s="133"/>
      <c r="JCY29" s="133"/>
      <c r="JCZ29" s="133"/>
      <c r="JDA29" s="133"/>
      <c r="JDB29" s="133"/>
      <c r="JDC29" s="133"/>
      <c r="JDD29" s="133"/>
      <c r="JDE29" s="133"/>
      <c r="JDF29" s="133"/>
      <c r="JDG29" s="133"/>
      <c r="JDH29" s="133"/>
      <c r="JDI29" s="133"/>
      <c r="JDJ29" s="133"/>
      <c r="JDK29" s="133"/>
      <c r="JDL29" s="133"/>
      <c r="JDM29" s="133"/>
      <c r="JDN29" s="133"/>
      <c r="JDO29" s="133"/>
      <c r="JDP29" s="133"/>
      <c r="JDQ29" s="133"/>
      <c r="JDR29" s="133"/>
      <c r="JDS29" s="133"/>
      <c r="JDT29" s="133"/>
      <c r="JDU29" s="133"/>
      <c r="JDV29" s="133"/>
      <c r="JDW29" s="133"/>
      <c r="JDX29" s="133"/>
      <c r="JDY29" s="133"/>
      <c r="JDZ29" s="133"/>
      <c r="JEA29" s="133"/>
      <c r="JEB29" s="133"/>
      <c r="JEC29" s="133"/>
      <c r="JED29" s="133"/>
      <c r="JEE29" s="133"/>
      <c r="JEF29" s="133"/>
      <c r="JEG29" s="133"/>
      <c r="JEH29" s="133"/>
      <c r="JEI29" s="133"/>
      <c r="JEJ29" s="133"/>
      <c r="JEK29" s="133"/>
      <c r="JEL29" s="133"/>
      <c r="JEM29" s="133"/>
      <c r="JEN29" s="133"/>
      <c r="JEO29" s="133"/>
      <c r="JEP29" s="133"/>
      <c r="JEQ29" s="133"/>
      <c r="JER29" s="133"/>
      <c r="JES29" s="133"/>
      <c r="JET29" s="133"/>
      <c r="JEU29" s="133"/>
      <c r="JEV29" s="133"/>
      <c r="JEW29" s="133"/>
      <c r="JEX29" s="133"/>
      <c r="JEY29" s="133"/>
      <c r="JEZ29" s="133"/>
      <c r="JFA29" s="133"/>
      <c r="JFB29" s="133"/>
      <c r="JFC29" s="133"/>
      <c r="JFD29" s="133"/>
      <c r="JFE29" s="133"/>
      <c r="JFF29" s="133"/>
      <c r="JFG29" s="133"/>
      <c r="JFH29" s="133"/>
      <c r="JFI29" s="133"/>
      <c r="JFJ29" s="133"/>
      <c r="JFK29" s="133"/>
      <c r="JFL29" s="133"/>
      <c r="JFM29" s="133"/>
      <c r="JFN29" s="133"/>
      <c r="JFO29" s="133"/>
      <c r="JFP29" s="133"/>
      <c r="JFQ29" s="133"/>
      <c r="JFR29" s="133"/>
      <c r="JFS29" s="133"/>
      <c r="JFT29" s="133"/>
      <c r="JFU29" s="133"/>
      <c r="JFV29" s="133"/>
      <c r="JFW29" s="133"/>
      <c r="JFX29" s="133"/>
      <c r="JFY29" s="133"/>
      <c r="JFZ29" s="133"/>
      <c r="JGA29" s="133"/>
      <c r="JGB29" s="133"/>
      <c r="JGC29" s="133"/>
      <c r="JGD29" s="133"/>
      <c r="JGE29" s="133"/>
      <c r="JGF29" s="133"/>
      <c r="JGG29" s="133"/>
      <c r="JGH29" s="133"/>
      <c r="JGI29" s="133"/>
      <c r="JGJ29" s="133"/>
      <c r="JGK29" s="133"/>
      <c r="JGL29" s="133"/>
      <c r="JGM29" s="133"/>
      <c r="JGN29" s="133"/>
      <c r="JGO29" s="133"/>
      <c r="JGP29" s="133"/>
      <c r="JGQ29" s="133"/>
      <c r="JGR29" s="133"/>
      <c r="JGS29" s="133"/>
      <c r="JGT29" s="133"/>
      <c r="JGU29" s="133"/>
      <c r="JGV29" s="133"/>
      <c r="JGW29" s="133"/>
      <c r="JGX29" s="133"/>
      <c r="JGY29" s="133"/>
      <c r="JGZ29" s="133"/>
      <c r="JHA29" s="133"/>
      <c r="JHB29" s="133"/>
      <c r="JHC29" s="133"/>
      <c r="JHD29" s="133"/>
      <c r="JHE29" s="133"/>
      <c r="JHF29" s="133"/>
      <c r="JHG29" s="133"/>
      <c r="JHH29" s="133"/>
      <c r="JHI29" s="133"/>
      <c r="JHJ29" s="133"/>
      <c r="JHK29" s="133"/>
      <c r="JHL29" s="133"/>
      <c r="JHM29" s="133"/>
      <c r="JHN29" s="133"/>
      <c r="JHO29" s="133"/>
      <c r="JHP29" s="133"/>
      <c r="JHQ29" s="133"/>
      <c r="JHR29" s="133"/>
      <c r="JHS29" s="133"/>
      <c r="JHT29" s="133"/>
      <c r="JHU29" s="133"/>
      <c r="JHV29" s="133"/>
      <c r="JHW29" s="133"/>
      <c r="JHX29" s="133"/>
      <c r="JHY29" s="133"/>
      <c r="JHZ29" s="133"/>
      <c r="JIA29" s="133"/>
      <c r="JIB29" s="133"/>
      <c r="JIC29" s="133"/>
      <c r="JID29" s="133"/>
      <c r="JIE29" s="133"/>
      <c r="JIF29" s="133"/>
      <c r="JIG29" s="133"/>
      <c r="JIH29" s="133"/>
      <c r="JII29" s="133"/>
      <c r="JIJ29" s="133"/>
      <c r="JIK29" s="133"/>
      <c r="JIL29" s="133"/>
      <c r="JIM29" s="133"/>
      <c r="JIN29" s="133"/>
      <c r="JIO29" s="133"/>
      <c r="JIP29" s="133"/>
      <c r="JIQ29" s="133"/>
      <c r="JIR29" s="133"/>
      <c r="JIS29" s="133"/>
      <c r="JIT29" s="133"/>
      <c r="JIU29" s="133"/>
      <c r="JIV29" s="133"/>
      <c r="JIW29" s="133"/>
      <c r="JIX29" s="133"/>
      <c r="JIY29" s="133"/>
      <c r="JIZ29" s="133"/>
      <c r="JJA29" s="133"/>
      <c r="JJB29" s="133"/>
      <c r="JJC29" s="133"/>
      <c r="JJD29" s="133"/>
      <c r="JJE29" s="133"/>
      <c r="JJF29" s="133"/>
      <c r="JJG29" s="133"/>
      <c r="JJH29" s="133"/>
      <c r="JJI29" s="133"/>
      <c r="JJJ29" s="133"/>
      <c r="JJK29" s="133"/>
      <c r="JJL29" s="133"/>
      <c r="JJM29" s="133"/>
      <c r="JJN29" s="133"/>
      <c r="JJO29" s="133"/>
      <c r="JJP29" s="133"/>
      <c r="JJQ29" s="133"/>
      <c r="JJR29" s="133"/>
      <c r="JJS29" s="133"/>
      <c r="JJT29" s="133"/>
      <c r="JJU29" s="133"/>
      <c r="JJV29" s="133"/>
      <c r="JJW29" s="133"/>
      <c r="JJX29" s="133"/>
      <c r="JJY29" s="133"/>
      <c r="JJZ29" s="133"/>
      <c r="JKA29" s="133"/>
      <c r="JKB29" s="133"/>
      <c r="JKC29" s="133"/>
      <c r="JKD29" s="133"/>
      <c r="JKE29" s="133"/>
      <c r="JKF29" s="133"/>
      <c r="JKG29" s="133"/>
      <c r="JKH29" s="133"/>
      <c r="JKI29" s="133"/>
      <c r="JKJ29" s="133"/>
      <c r="JKK29" s="133"/>
      <c r="JKL29" s="133"/>
      <c r="JKM29" s="133"/>
      <c r="JKN29" s="133"/>
      <c r="JKO29" s="133"/>
      <c r="JKP29" s="133"/>
      <c r="JKQ29" s="133"/>
      <c r="JKR29" s="133"/>
      <c r="JKS29" s="133"/>
      <c r="JKT29" s="133"/>
      <c r="JKU29" s="133"/>
      <c r="JKV29" s="133"/>
      <c r="JKW29" s="133"/>
      <c r="JKX29" s="133"/>
      <c r="JKY29" s="133"/>
      <c r="JKZ29" s="133"/>
      <c r="JLA29" s="133"/>
      <c r="JLB29" s="133"/>
      <c r="JLC29" s="133"/>
      <c r="JLD29" s="133"/>
      <c r="JLE29" s="133"/>
      <c r="JLF29" s="133"/>
      <c r="JLG29" s="133"/>
      <c r="JLH29" s="133"/>
      <c r="JLI29" s="133"/>
      <c r="JLJ29" s="133"/>
      <c r="JLK29" s="133"/>
      <c r="JLL29" s="133"/>
      <c r="JLM29" s="133"/>
      <c r="JLN29" s="133"/>
      <c r="JLO29" s="133"/>
      <c r="JLP29" s="133"/>
      <c r="JLQ29" s="133"/>
      <c r="JLR29" s="133"/>
      <c r="JLS29" s="133"/>
      <c r="JLT29" s="133"/>
      <c r="JLU29" s="133"/>
      <c r="JLV29" s="133"/>
      <c r="JLW29" s="133"/>
      <c r="JLX29" s="133"/>
      <c r="JLY29" s="133"/>
      <c r="JLZ29" s="133"/>
      <c r="JMA29" s="133"/>
      <c r="JMB29" s="133"/>
      <c r="JMC29" s="133"/>
      <c r="JMD29" s="133"/>
      <c r="JME29" s="133"/>
      <c r="JMF29" s="133"/>
      <c r="JMG29" s="133"/>
      <c r="JMH29" s="133"/>
      <c r="JMI29" s="133"/>
      <c r="JMJ29" s="133"/>
      <c r="JMK29" s="133"/>
      <c r="JML29" s="133"/>
      <c r="JMM29" s="133"/>
      <c r="JMN29" s="133"/>
      <c r="JMO29" s="133"/>
      <c r="JMP29" s="133"/>
      <c r="JMQ29" s="133"/>
      <c r="JMR29" s="133"/>
      <c r="JMS29" s="133"/>
      <c r="JMT29" s="133"/>
      <c r="JMU29" s="133"/>
      <c r="JMV29" s="133"/>
      <c r="JMW29" s="133"/>
      <c r="JMX29" s="133"/>
      <c r="JMY29" s="133"/>
      <c r="JMZ29" s="133"/>
      <c r="JNA29" s="133"/>
      <c r="JNB29" s="133"/>
      <c r="JNC29" s="133"/>
      <c r="JND29" s="133"/>
      <c r="JNE29" s="133"/>
      <c r="JNF29" s="133"/>
      <c r="JNG29" s="133"/>
      <c r="JNH29" s="133"/>
      <c r="JNI29" s="133"/>
      <c r="JNJ29" s="133"/>
      <c r="JNK29" s="133"/>
      <c r="JNL29" s="133"/>
      <c r="JNM29" s="133"/>
      <c r="JNN29" s="133"/>
      <c r="JNO29" s="133"/>
      <c r="JNP29" s="133"/>
      <c r="JNQ29" s="133"/>
      <c r="JNR29" s="133"/>
      <c r="JNS29" s="133"/>
      <c r="JNT29" s="133"/>
      <c r="JNU29" s="133"/>
      <c r="JNV29" s="133"/>
      <c r="JNW29" s="133"/>
      <c r="JNX29" s="133"/>
      <c r="JNY29" s="133"/>
      <c r="JNZ29" s="133"/>
      <c r="JOA29" s="133"/>
      <c r="JOB29" s="133"/>
      <c r="JOC29" s="133"/>
      <c r="JOD29" s="133"/>
      <c r="JOE29" s="133"/>
      <c r="JOF29" s="133"/>
      <c r="JOG29" s="133"/>
      <c r="JOH29" s="133"/>
      <c r="JOI29" s="133"/>
      <c r="JOJ29" s="133"/>
      <c r="JOK29" s="133"/>
      <c r="JOL29" s="133"/>
      <c r="JOM29" s="133"/>
      <c r="JON29" s="133"/>
      <c r="JOO29" s="133"/>
      <c r="JOP29" s="133"/>
      <c r="JOQ29" s="133"/>
      <c r="JOR29" s="133"/>
      <c r="JOS29" s="133"/>
      <c r="JOT29" s="133"/>
      <c r="JOU29" s="133"/>
      <c r="JOV29" s="133"/>
      <c r="JOW29" s="133"/>
      <c r="JOX29" s="133"/>
      <c r="JOY29" s="133"/>
      <c r="JOZ29" s="133"/>
      <c r="JPA29" s="133"/>
      <c r="JPB29" s="133"/>
      <c r="JPC29" s="133"/>
      <c r="JPD29" s="133"/>
      <c r="JPE29" s="133"/>
      <c r="JPF29" s="133"/>
      <c r="JPG29" s="133"/>
      <c r="JPH29" s="133"/>
      <c r="JPI29" s="133"/>
      <c r="JPJ29" s="133"/>
      <c r="JPK29" s="133"/>
      <c r="JPL29" s="133"/>
      <c r="JPM29" s="133"/>
      <c r="JPN29" s="133"/>
      <c r="JPO29" s="133"/>
      <c r="JPP29" s="133"/>
      <c r="JPQ29" s="133"/>
      <c r="JPR29" s="133"/>
      <c r="JPS29" s="133"/>
      <c r="JPT29" s="133"/>
      <c r="JPU29" s="133"/>
      <c r="JPV29" s="133"/>
      <c r="JPW29" s="133"/>
      <c r="JPX29" s="133"/>
      <c r="JPY29" s="133"/>
      <c r="JPZ29" s="133"/>
      <c r="JQA29" s="133"/>
      <c r="JQB29" s="133"/>
      <c r="JQC29" s="133"/>
      <c r="JQD29" s="133"/>
      <c r="JQE29" s="133"/>
      <c r="JQF29" s="133"/>
      <c r="JQG29" s="133"/>
      <c r="JQH29" s="133"/>
      <c r="JQI29" s="133"/>
      <c r="JQJ29" s="133"/>
      <c r="JQK29" s="133"/>
      <c r="JQL29" s="133"/>
      <c r="JQM29" s="133"/>
      <c r="JQN29" s="133"/>
      <c r="JQO29" s="133"/>
      <c r="JQP29" s="133"/>
      <c r="JQQ29" s="133"/>
      <c r="JQR29" s="133"/>
      <c r="JQS29" s="133"/>
      <c r="JQT29" s="133"/>
      <c r="JQU29" s="133"/>
      <c r="JQV29" s="133"/>
      <c r="JQW29" s="133"/>
      <c r="JQX29" s="133"/>
      <c r="JQY29" s="133"/>
      <c r="JQZ29" s="133"/>
      <c r="JRA29" s="133"/>
      <c r="JRB29" s="133"/>
      <c r="JRC29" s="133"/>
      <c r="JRD29" s="133"/>
      <c r="JRE29" s="133"/>
      <c r="JRF29" s="133"/>
      <c r="JRG29" s="133"/>
      <c r="JRH29" s="133"/>
      <c r="JRI29" s="133"/>
      <c r="JRJ29" s="133"/>
      <c r="JRK29" s="133"/>
      <c r="JRL29" s="133"/>
      <c r="JRM29" s="133"/>
      <c r="JRN29" s="133"/>
      <c r="JRO29" s="133"/>
      <c r="JRP29" s="133"/>
      <c r="JRQ29" s="133"/>
      <c r="JRR29" s="133"/>
      <c r="JRS29" s="133"/>
      <c r="JRT29" s="133"/>
      <c r="JRU29" s="133"/>
      <c r="JRV29" s="133"/>
      <c r="JRW29" s="133"/>
      <c r="JRX29" s="133"/>
      <c r="JRY29" s="133"/>
      <c r="JRZ29" s="133"/>
      <c r="JSA29" s="133"/>
      <c r="JSB29" s="133"/>
      <c r="JSC29" s="133"/>
      <c r="JSD29" s="133"/>
      <c r="JSE29" s="133"/>
      <c r="JSF29" s="133"/>
      <c r="JSG29" s="133"/>
      <c r="JSH29" s="133"/>
      <c r="JSI29" s="133"/>
      <c r="JSJ29" s="133"/>
      <c r="JSK29" s="133"/>
      <c r="JSL29" s="133"/>
      <c r="JSM29" s="133"/>
      <c r="JSN29" s="133"/>
      <c r="JSO29" s="133"/>
      <c r="JSP29" s="133"/>
      <c r="JSQ29" s="133"/>
      <c r="JSR29" s="133"/>
      <c r="JSS29" s="133"/>
      <c r="JST29" s="133"/>
      <c r="JSU29" s="133"/>
      <c r="JSV29" s="133"/>
      <c r="JSW29" s="133"/>
      <c r="JSX29" s="133"/>
      <c r="JSY29" s="133"/>
      <c r="JSZ29" s="133"/>
      <c r="JTA29" s="133"/>
      <c r="JTB29" s="133"/>
      <c r="JTC29" s="133"/>
      <c r="JTD29" s="133"/>
      <c r="JTE29" s="133"/>
      <c r="JTF29" s="133"/>
      <c r="JTG29" s="133"/>
      <c r="JTH29" s="133"/>
      <c r="JTI29" s="133"/>
      <c r="JTJ29" s="133"/>
      <c r="JTK29" s="133"/>
      <c r="JTL29" s="133"/>
      <c r="JTM29" s="133"/>
      <c r="JTN29" s="133"/>
      <c r="JTO29" s="133"/>
      <c r="JTP29" s="133"/>
      <c r="JTQ29" s="133"/>
      <c r="JTR29" s="133"/>
      <c r="JTS29" s="133"/>
      <c r="JTT29" s="133"/>
      <c r="JTU29" s="133"/>
      <c r="JTV29" s="133"/>
      <c r="JTW29" s="133"/>
      <c r="JTX29" s="133"/>
      <c r="JTY29" s="133"/>
      <c r="JTZ29" s="133"/>
      <c r="JUA29" s="133"/>
      <c r="JUB29" s="133"/>
      <c r="JUC29" s="133"/>
      <c r="JUD29" s="133"/>
      <c r="JUE29" s="133"/>
      <c r="JUF29" s="133"/>
      <c r="JUG29" s="133"/>
      <c r="JUH29" s="133"/>
      <c r="JUI29" s="133"/>
      <c r="JUJ29" s="133"/>
      <c r="JUK29" s="133"/>
      <c r="JUL29" s="133"/>
      <c r="JUM29" s="133"/>
      <c r="JUN29" s="133"/>
      <c r="JUO29" s="133"/>
      <c r="JUP29" s="133"/>
      <c r="JUQ29" s="133"/>
      <c r="JUR29" s="133"/>
      <c r="JUS29" s="133"/>
      <c r="JUT29" s="133"/>
      <c r="JUU29" s="133"/>
      <c r="JUV29" s="133"/>
      <c r="JUW29" s="133"/>
      <c r="JUX29" s="133"/>
      <c r="JUY29" s="133"/>
      <c r="JUZ29" s="133"/>
      <c r="JVA29" s="133"/>
      <c r="JVB29" s="133"/>
      <c r="JVC29" s="133"/>
      <c r="JVD29" s="133"/>
      <c r="JVE29" s="133"/>
      <c r="JVF29" s="133"/>
      <c r="JVG29" s="133"/>
      <c r="JVH29" s="133"/>
      <c r="JVI29" s="133"/>
      <c r="JVJ29" s="133"/>
      <c r="JVK29" s="133"/>
      <c r="JVL29" s="133"/>
      <c r="JVM29" s="133"/>
      <c r="JVN29" s="133"/>
      <c r="JVO29" s="133"/>
      <c r="JVP29" s="133"/>
      <c r="JVQ29" s="133"/>
      <c r="JVR29" s="133"/>
      <c r="JVS29" s="133"/>
      <c r="JVT29" s="133"/>
      <c r="JVU29" s="133"/>
      <c r="JVV29" s="133"/>
      <c r="JVW29" s="133"/>
      <c r="JVX29" s="133"/>
      <c r="JVY29" s="133"/>
      <c r="JVZ29" s="133"/>
      <c r="JWA29" s="133"/>
      <c r="JWB29" s="133"/>
      <c r="JWC29" s="133"/>
      <c r="JWD29" s="133"/>
      <c r="JWE29" s="133"/>
      <c r="JWF29" s="133"/>
      <c r="JWG29" s="133"/>
      <c r="JWH29" s="133"/>
      <c r="JWI29" s="133"/>
      <c r="JWJ29" s="133"/>
      <c r="JWK29" s="133"/>
      <c r="JWL29" s="133"/>
      <c r="JWM29" s="133"/>
      <c r="JWN29" s="133"/>
      <c r="JWO29" s="133"/>
      <c r="JWP29" s="133"/>
      <c r="JWQ29" s="133"/>
      <c r="JWR29" s="133"/>
      <c r="JWS29" s="133"/>
      <c r="JWT29" s="133"/>
      <c r="JWU29" s="133"/>
      <c r="JWV29" s="133"/>
      <c r="JWW29" s="133"/>
      <c r="JWX29" s="133"/>
      <c r="JWY29" s="133"/>
      <c r="JWZ29" s="133"/>
      <c r="JXA29" s="133"/>
      <c r="JXB29" s="133"/>
      <c r="JXC29" s="133"/>
      <c r="JXD29" s="133"/>
      <c r="JXE29" s="133"/>
      <c r="JXF29" s="133"/>
      <c r="JXG29" s="133"/>
      <c r="JXH29" s="133"/>
      <c r="JXI29" s="133"/>
      <c r="JXJ29" s="133"/>
      <c r="JXK29" s="133"/>
      <c r="JXL29" s="133"/>
      <c r="JXM29" s="133"/>
      <c r="JXN29" s="133"/>
      <c r="JXO29" s="133"/>
      <c r="JXP29" s="133"/>
      <c r="JXQ29" s="133"/>
      <c r="JXR29" s="133"/>
      <c r="JXS29" s="133"/>
      <c r="JXT29" s="133"/>
      <c r="JXU29" s="133"/>
      <c r="JXV29" s="133"/>
      <c r="JXW29" s="133"/>
      <c r="JXX29" s="133"/>
      <c r="JXY29" s="133"/>
      <c r="JXZ29" s="133"/>
      <c r="JYA29" s="133"/>
      <c r="JYB29" s="133"/>
      <c r="JYC29" s="133"/>
      <c r="JYD29" s="133"/>
      <c r="JYE29" s="133"/>
      <c r="JYF29" s="133"/>
      <c r="JYG29" s="133"/>
      <c r="JYH29" s="133"/>
      <c r="JYI29" s="133"/>
      <c r="JYJ29" s="133"/>
      <c r="JYK29" s="133"/>
      <c r="JYL29" s="133"/>
      <c r="JYM29" s="133"/>
      <c r="JYN29" s="133"/>
      <c r="JYO29" s="133"/>
      <c r="JYP29" s="133"/>
      <c r="JYQ29" s="133"/>
      <c r="JYR29" s="133"/>
      <c r="JYS29" s="133"/>
      <c r="JYT29" s="133"/>
      <c r="JYU29" s="133"/>
      <c r="JYV29" s="133"/>
      <c r="JYW29" s="133"/>
      <c r="JYX29" s="133"/>
      <c r="JYY29" s="133"/>
      <c r="JYZ29" s="133"/>
      <c r="JZA29" s="133"/>
      <c r="JZB29" s="133"/>
      <c r="JZC29" s="133"/>
      <c r="JZD29" s="133"/>
      <c r="JZE29" s="133"/>
      <c r="JZF29" s="133"/>
      <c r="JZG29" s="133"/>
      <c r="JZH29" s="133"/>
      <c r="JZI29" s="133"/>
      <c r="JZJ29" s="133"/>
      <c r="JZK29" s="133"/>
      <c r="JZL29" s="133"/>
      <c r="JZM29" s="133"/>
      <c r="JZN29" s="133"/>
      <c r="JZO29" s="133"/>
      <c r="JZP29" s="133"/>
      <c r="JZQ29" s="133"/>
      <c r="JZR29" s="133"/>
      <c r="JZS29" s="133"/>
      <c r="JZT29" s="133"/>
      <c r="JZU29" s="133"/>
      <c r="JZV29" s="133"/>
      <c r="JZW29" s="133"/>
      <c r="JZX29" s="133"/>
      <c r="JZY29" s="133"/>
      <c r="JZZ29" s="133"/>
      <c r="KAA29" s="133"/>
      <c r="KAB29" s="133"/>
      <c r="KAC29" s="133"/>
      <c r="KAD29" s="133"/>
      <c r="KAE29" s="133"/>
      <c r="KAF29" s="133"/>
      <c r="KAG29" s="133"/>
      <c r="KAH29" s="133"/>
      <c r="KAI29" s="133"/>
      <c r="KAJ29" s="133"/>
      <c r="KAK29" s="133"/>
      <c r="KAL29" s="133"/>
      <c r="KAM29" s="133"/>
      <c r="KAN29" s="133"/>
      <c r="KAO29" s="133"/>
      <c r="KAP29" s="133"/>
      <c r="KAQ29" s="133"/>
      <c r="KAR29" s="133"/>
      <c r="KAS29" s="133"/>
      <c r="KAT29" s="133"/>
      <c r="KAU29" s="133"/>
      <c r="KAV29" s="133"/>
      <c r="KAW29" s="133"/>
      <c r="KAX29" s="133"/>
      <c r="KAY29" s="133"/>
      <c r="KAZ29" s="133"/>
      <c r="KBA29" s="133"/>
      <c r="KBB29" s="133"/>
      <c r="KBC29" s="133"/>
      <c r="KBD29" s="133"/>
      <c r="KBE29" s="133"/>
      <c r="KBF29" s="133"/>
      <c r="KBG29" s="133"/>
      <c r="KBH29" s="133"/>
      <c r="KBI29" s="133"/>
      <c r="KBJ29" s="133"/>
      <c r="KBK29" s="133"/>
      <c r="KBL29" s="133"/>
      <c r="KBM29" s="133"/>
      <c r="KBN29" s="133"/>
      <c r="KBO29" s="133"/>
      <c r="KBP29" s="133"/>
      <c r="KBQ29" s="133"/>
      <c r="KBR29" s="133"/>
      <c r="KBS29" s="133"/>
      <c r="KBT29" s="133"/>
      <c r="KBU29" s="133"/>
      <c r="KBV29" s="133"/>
      <c r="KBW29" s="133"/>
      <c r="KBX29" s="133"/>
      <c r="KBY29" s="133"/>
      <c r="KBZ29" s="133"/>
      <c r="KCA29" s="133"/>
      <c r="KCB29" s="133"/>
      <c r="KCC29" s="133"/>
      <c r="KCD29" s="133"/>
      <c r="KCE29" s="133"/>
      <c r="KCF29" s="133"/>
      <c r="KCG29" s="133"/>
      <c r="KCH29" s="133"/>
      <c r="KCI29" s="133"/>
      <c r="KCJ29" s="133"/>
      <c r="KCK29" s="133"/>
      <c r="KCL29" s="133"/>
      <c r="KCM29" s="133"/>
      <c r="KCN29" s="133"/>
      <c r="KCO29" s="133"/>
      <c r="KCP29" s="133"/>
      <c r="KCQ29" s="133"/>
      <c r="KCR29" s="133"/>
      <c r="KCS29" s="133"/>
      <c r="KCT29" s="133"/>
      <c r="KCU29" s="133"/>
      <c r="KCV29" s="133"/>
      <c r="KCW29" s="133"/>
      <c r="KCX29" s="133"/>
      <c r="KCY29" s="133"/>
      <c r="KCZ29" s="133"/>
      <c r="KDA29" s="133"/>
      <c r="KDB29" s="133"/>
      <c r="KDC29" s="133"/>
      <c r="KDD29" s="133"/>
      <c r="KDE29" s="133"/>
      <c r="KDF29" s="133"/>
      <c r="KDG29" s="133"/>
      <c r="KDH29" s="133"/>
      <c r="KDI29" s="133"/>
      <c r="KDJ29" s="133"/>
      <c r="KDK29" s="133"/>
      <c r="KDL29" s="133"/>
      <c r="KDM29" s="133"/>
      <c r="KDN29" s="133"/>
      <c r="KDO29" s="133"/>
      <c r="KDP29" s="133"/>
      <c r="KDQ29" s="133"/>
      <c r="KDR29" s="133"/>
      <c r="KDS29" s="133"/>
      <c r="KDT29" s="133"/>
      <c r="KDU29" s="133"/>
      <c r="KDV29" s="133"/>
      <c r="KDW29" s="133"/>
      <c r="KDX29" s="133"/>
      <c r="KDY29" s="133"/>
      <c r="KDZ29" s="133"/>
      <c r="KEA29" s="133"/>
      <c r="KEB29" s="133"/>
      <c r="KEC29" s="133"/>
      <c r="KED29" s="133"/>
      <c r="KEE29" s="133"/>
      <c r="KEF29" s="133"/>
      <c r="KEG29" s="133"/>
      <c r="KEH29" s="133"/>
      <c r="KEI29" s="133"/>
      <c r="KEJ29" s="133"/>
      <c r="KEK29" s="133"/>
      <c r="KEL29" s="133"/>
      <c r="KEM29" s="133"/>
      <c r="KEN29" s="133"/>
      <c r="KEO29" s="133"/>
      <c r="KEP29" s="133"/>
      <c r="KEQ29" s="133"/>
      <c r="KER29" s="133"/>
      <c r="KES29" s="133"/>
      <c r="KET29" s="133"/>
      <c r="KEU29" s="133"/>
      <c r="KEV29" s="133"/>
      <c r="KEW29" s="133"/>
      <c r="KEX29" s="133"/>
      <c r="KEY29" s="133"/>
      <c r="KEZ29" s="133"/>
      <c r="KFA29" s="133"/>
      <c r="KFB29" s="133"/>
      <c r="KFC29" s="133"/>
      <c r="KFD29" s="133"/>
      <c r="KFE29" s="133"/>
      <c r="KFF29" s="133"/>
      <c r="KFG29" s="133"/>
      <c r="KFH29" s="133"/>
      <c r="KFI29" s="133"/>
      <c r="KFJ29" s="133"/>
      <c r="KFK29" s="133"/>
      <c r="KFL29" s="133"/>
      <c r="KFM29" s="133"/>
      <c r="KFN29" s="133"/>
      <c r="KFO29" s="133"/>
      <c r="KFP29" s="133"/>
      <c r="KFQ29" s="133"/>
      <c r="KFR29" s="133"/>
      <c r="KFS29" s="133"/>
      <c r="KFT29" s="133"/>
      <c r="KFU29" s="133"/>
      <c r="KFV29" s="133"/>
      <c r="KFW29" s="133"/>
      <c r="KFX29" s="133"/>
      <c r="KFY29" s="133"/>
      <c r="KFZ29" s="133"/>
      <c r="KGA29" s="133"/>
      <c r="KGB29" s="133"/>
      <c r="KGC29" s="133"/>
      <c r="KGD29" s="133"/>
      <c r="KGE29" s="133"/>
      <c r="KGF29" s="133"/>
      <c r="KGG29" s="133"/>
      <c r="KGH29" s="133"/>
      <c r="KGI29" s="133"/>
      <c r="KGJ29" s="133"/>
      <c r="KGK29" s="133"/>
      <c r="KGL29" s="133"/>
      <c r="KGM29" s="133"/>
      <c r="KGN29" s="133"/>
      <c r="KGO29" s="133"/>
      <c r="KGP29" s="133"/>
      <c r="KGQ29" s="133"/>
      <c r="KGR29" s="133"/>
      <c r="KGS29" s="133"/>
      <c r="KGT29" s="133"/>
      <c r="KGU29" s="133"/>
      <c r="KGV29" s="133"/>
      <c r="KGW29" s="133"/>
      <c r="KGX29" s="133"/>
      <c r="KGY29" s="133"/>
      <c r="KGZ29" s="133"/>
      <c r="KHA29" s="133"/>
      <c r="KHB29" s="133"/>
      <c r="KHC29" s="133"/>
      <c r="KHD29" s="133"/>
      <c r="KHE29" s="133"/>
      <c r="KHF29" s="133"/>
      <c r="KHG29" s="133"/>
      <c r="KHH29" s="133"/>
      <c r="KHI29" s="133"/>
      <c r="KHJ29" s="133"/>
      <c r="KHK29" s="133"/>
      <c r="KHL29" s="133"/>
      <c r="KHM29" s="133"/>
      <c r="KHN29" s="133"/>
      <c r="KHO29" s="133"/>
      <c r="KHP29" s="133"/>
      <c r="KHQ29" s="133"/>
      <c r="KHR29" s="133"/>
      <c r="KHS29" s="133"/>
      <c r="KHT29" s="133"/>
      <c r="KHU29" s="133"/>
      <c r="KHV29" s="133"/>
      <c r="KHW29" s="133"/>
      <c r="KHX29" s="133"/>
      <c r="KHY29" s="133"/>
      <c r="KHZ29" s="133"/>
      <c r="KIA29" s="133"/>
      <c r="KIB29" s="133"/>
      <c r="KIC29" s="133"/>
      <c r="KID29" s="133"/>
      <c r="KIE29" s="133"/>
      <c r="KIF29" s="133"/>
      <c r="KIG29" s="133"/>
      <c r="KIH29" s="133"/>
      <c r="KII29" s="133"/>
      <c r="KIJ29" s="133"/>
      <c r="KIK29" s="133"/>
      <c r="KIL29" s="133"/>
      <c r="KIM29" s="133"/>
      <c r="KIN29" s="133"/>
      <c r="KIO29" s="133"/>
      <c r="KIP29" s="133"/>
      <c r="KIQ29" s="133"/>
      <c r="KIR29" s="133"/>
      <c r="KIS29" s="133"/>
      <c r="KIT29" s="133"/>
      <c r="KIU29" s="133"/>
      <c r="KIV29" s="133"/>
      <c r="KIW29" s="133"/>
      <c r="KIX29" s="133"/>
      <c r="KIY29" s="133"/>
      <c r="KIZ29" s="133"/>
      <c r="KJA29" s="133"/>
      <c r="KJB29" s="133"/>
      <c r="KJC29" s="133"/>
      <c r="KJD29" s="133"/>
      <c r="KJE29" s="133"/>
      <c r="KJF29" s="133"/>
      <c r="KJG29" s="133"/>
      <c r="KJH29" s="133"/>
      <c r="KJI29" s="133"/>
      <c r="KJJ29" s="133"/>
      <c r="KJK29" s="133"/>
      <c r="KJL29" s="133"/>
      <c r="KJM29" s="133"/>
      <c r="KJN29" s="133"/>
      <c r="KJO29" s="133"/>
      <c r="KJP29" s="133"/>
      <c r="KJQ29" s="133"/>
      <c r="KJR29" s="133"/>
      <c r="KJS29" s="133"/>
      <c r="KJT29" s="133"/>
      <c r="KJU29" s="133"/>
      <c r="KJV29" s="133"/>
      <c r="KJW29" s="133"/>
      <c r="KJX29" s="133"/>
      <c r="KJY29" s="133"/>
      <c r="KJZ29" s="133"/>
      <c r="KKA29" s="133"/>
      <c r="KKB29" s="133"/>
      <c r="KKC29" s="133"/>
      <c r="KKD29" s="133"/>
      <c r="KKE29" s="133"/>
      <c r="KKF29" s="133"/>
      <c r="KKG29" s="133"/>
      <c r="KKH29" s="133"/>
      <c r="KKI29" s="133"/>
      <c r="KKJ29" s="133"/>
      <c r="KKK29" s="133"/>
      <c r="KKL29" s="133"/>
      <c r="KKM29" s="133"/>
      <c r="KKN29" s="133"/>
      <c r="KKO29" s="133"/>
      <c r="KKP29" s="133"/>
      <c r="KKQ29" s="133"/>
      <c r="KKR29" s="133"/>
      <c r="KKS29" s="133"/>
      <c r="KKT29" s="133"/>
      <c r="KKU29" s="133"/>
      <c r="KKV29" s="133"/>
      <c r="KKW29" s="133"/>
      <c r="KKX29" s="133"/>
      <c r="KKY29" s="133"/>
      <c r="KKZ29" s="133"/>
      <c r="KLA29" s="133"/>
      <c r="KLB29" s="133"/>
      <c r="KLC29" s="133"/>
      <c r="KLD29" s="133"/>
      <c r="KLE29" s="133"/>
      <c r="KLF29" s="133"/>
      <c r="KLG29" s="133"/>
      <c r="KLH29" s="133"/>
      <c r="KLI29" s="133"/>
      <c r="KLJ29" s="133"/>
      <c r="KLK29" s="133"/>
      <c r="KLL29" s="133"/>
      <c r="KLM29" s="133"/>
      <c r="KLN29" s="133"/>
      <c r="KLO29" s="133"/>
      <c r="KLP29" s="133"/>
      <c r="KLQ29" s="133"/>
      <c r="KLR29" s="133"/>
      <c r="KLS29" s="133"/>
      <c r="KLT29" s="133"/>
      <c r="KLU29" s="133"/>
      <c r="KLV29" s="133"/>
      <c r="KLW29" s="133"/>
      <c r="KLX29" s="133"/>
      <c r="KLY29" s="133"/>
      <c r="KLZ29" s="133"/>
      <c r="KMA29" s="133"/>
      <c r="KMB29" s="133"/>
      <c r="KMC29" s="133"/>
      <c r="KMD29" s="133"/>
      <c r="KME29" s="133"/>
      <c r="KMF29" s="133"/>
      <c r="KMG29" s="133"/>
      <c r="KMH29" s="133"/>
      <c r="KMI29" s="133"/>
      <c r="KMJ29" s="133"/>
      <c r="KMK29" s="133"/>
      <c r="KML29" s="133"/>
      <c r="KMM29" s="133"/>
      <c r="KMN29" s="133"/>
      <c r="KMO29" s="133"/>
      <c r="KMP29" s="133"/>
      <c r="KMQ29" s="133"/>
      <c r="KMR29" s="133"/>
      <c r="KMS29" s="133"/>
      <c r="KMT29" s="133"/>
      <c r="KMU29" s="133"/>
      <c r="KMV29" s="133"/>
      <c r="KMW29" s="133"/>
      <c r="KMX29" s="133"/>
      <c r="KMY29" s="133"/>
      <c r="KMZ29" s="133"/>
      <c r="KNA29" s="133"/>
      <c r="KNB29" s="133"/>
      <c r="KNC29" s="133"/>
      <c r="KND29" s="133"/>
      <c r="KNE29" s="133"/>
      <c r="KNF29" s="133"/>
      <c r="KNG29" s="133"/>
      <c r="KNH29" s="133"/>
      <c r="KNI29" s="133"/>
      <c r="KNJ29" s="133"/>
      <c r="KNK29" s="133"/>
      <c r="KNL29" s="133"/>
      <c r="KNM29" s="133"/>
      <c r="KNN29" s="133"/>
      <c r="KNO29" s="133"/>
      <c r="KNP29" s="133"/>
      <c r="KNQ29" s="133"/>
      <c r="KNR29" s="133"/>
      <c r="KNS29" s="133"/>
      <c r="KNT29" s="133"/>
      <c r="KNU29" s="133"/>
      <c r="KNV29" s="133"/>
      <c r="KNW29" s="133"/>
      <c r="KNX29" s="133"/>
      <c r="KNY29" s="133"/>
      <c r="KNZ29" s="133"/>
      <c r="KOA29" s="133"/>
      <c r="KOB29" s="133"/>
      <c r="KOC29" s="133"/>
      <c r="KOD29" s="133"/>
      <c r="KOE29" s="133"/>
      <c r="KOF29" s="133"/>
      <c r="KOG29" s="133"/>
      <c r="KOH29" s="133"/>
      <c r="KOI29" s="133"/>
      <c r="KOJ29" s="133"/>
      <c r="KOK29" s="133"/>
      <c r="KOL29" s="133"/>
      <c r="KOM29" s="133"/>
      <c r="KON29" s="133"/>
      <c r="KOO29" s="133"/>
      <c r="KOP29" s="133"/>
      <c r="KOQ29" s="133"/>
      <c r="KOR29" s="133"/>
      <c r="KOS29" s="133"/>
      <c r="KOT29" s="133"/>
      <c r="KOU29" s="133"/>
      <c r="KOV29" s="133"/>
      <c r="KOW29" s="133"/>
      <c r="KOX29" s="133"/>
      <c r="KOY29" s="133"/>
      <c r="KOZ29" s="133"/>
      <c r="KPA29" s="133"/>
      <c r="KPB29" s="133"/>
      <c r="KPC29" s="133"/>
      <c r="KPD29" s="133"/>
      <c r="KPE29" s="133"/>
      <c r="KPF29" s="133"/>
      <c r="KPG29" s="133"/>
      <c r="KPH29" s="133"/>
      <c r="KPI29" s="133"/>
      <c r="KPJ29" s="133"/>
      <c r="KPK29" s="133"/>
      <c r="KPL29" s="133"/>
      <c r="KPM29" s="133"/>
      <c r="KPN29" s="133"/>
      <c r="KPO29" s="133"/>
      <c r="KPP29" s="133"/>
      <c r="KPQ29" s="133"/>
      <c r="KPR29" s="133"/>
      <c r="KPS29" s="133"/>
      <c r="KPT29" s="133"/>
      <c r="KPU29" s="133"/>
      <c r="KPV29" s="133"/>
      <c r="KPW29" s="133"/>
      <c r="KPX29" s="133"/>
      <c r="KPY29" s="133"/>
      <c r="KPZ29" s="133"/>
      <c r="KQA29" s="133"/>
      <c r="KQB29" s="133"/>
      <c r="KQC29" s="133"/>
      <c r="KQD29" s="133"/>
      <c r="KQE29" s="133"/>
      <c r="KQF29" s="133"/>
      <c r="KQG29" s="133"/>
      <c r="KQH29" s="133"/>
      <c r="KQI29" s="133"/>
      <c r="KQJ29" s="133"/>
      <c r="KQK29" s="133"/>
      <c r="KQL29" s="133"/>
      <c r="KQM29" s="133"/>
      <c r="KQN29" s="133"/>
      <c r="KQO29" s="133"/>
      <c r="KQP29" s="133"/>
      <c r="KQQ29" s="133"/>
      <c r="KQR29" s="133"/>
      <c r="KQS29" s="133"/>
      <c r="KQT29" s="133"/>
      <c r="KQU29" s="133"/>
      <c r="KQV29" s="133"/>
      <c r="KQW29" s="133"/>
      <c r="KQX29" s="133"/>
      <c r="KQY29" s="133"/>
      <c r="KQZ29" s="133"/>
      <c r="KRA29" s="133"/>
      <c r="KRB29" s="133"/>
      <c r="KRC29" s="133"/>
      <c r="KRD29" s="133"/>
      <c r="KRE29" s="133"/>
      <c r="KRF29" s="133"/>
      <c r="KRG29" s="133"/>
      <c r="KRH29" s="133"/>
      <c r="KRI29" s="133"/>
      <c r="KRJ29" s="133"/>
      <c r="KRK29" s="133"/>
      <c r="KRL29" s="133"/>
      <c r="KRM29" s="133"/>
      <c r="KRN29" s="133"/>
      <c r="KRO29" s="133"/>
      <c r="KRP29" s="133"/>
      <c r="KRQ29" s="133"/>
      <c r="KRR29" s="133"/>
      <c r="KRS29" s="133"/>
      <c r="KRT29" s="133"/>
      <c r="KRU29" s="133"/>
      <c r="KRV29" s="133"/>
      <c r="KRW29" s="133"/>
      <c r="KRX29" s="133"/>
      <c r="KRY29" s="133"/>
      <c r="KRZ29" s="133"/>
      <c r="KSA29" s="133"/>
      <c r="KSB29" s="133"/>
      <c r="KSC29" s="133"/>
      <c r="KSD29" s="133"/>
      <c r="KSE29" s="133"/>
      <c r="KSF29" s="133"/>
      <c r="KSG29" s="133"/>
      <c r="KSH29" s="133"/>
      <c r="KSI29" s="133"/>
      <c r="KSJ29" s="133"/>
      <c r="KSK29" s="133"/>
      <c r="KSL29" s="133"/>
      <c r="KSM29" s="133"/>
      <c r="KSN29" s="133"/>
      <c r="KSO29" s="133"/>
      <c r="KSP29" s="133"/>
      <c r="KSQ29" s="133"/>
      <c r="KSR29" s="133"/>
      <c r="KSS29" s="133"/>
      <c r="KST29" s="133"/>
      <c r="KSU29" s="133"/>
      <c r="KSV29" s="133"/>
      <c r="KSW29" s="133"/>
      <c r="KSX29" s="133"/>
      <c r="KSY29" s="133"/>
      <c r="KSZ29" s="133"/>
      <c r="KTA29" s="133"/>
      <c r="KTB29" s="133"/>
      <c r="KTC29" s="133"/>
      <c r="KTD29" s="133"/>
      <c r="KTE29" s="133"/>
      <c r="KTF29" s="133"/>
      <c r="KTG29" s="133"/>
      <c r="KTH29" s="133"/>
      <c r="KTI29" s="133"/>
      <c r="KTJ29" s="133"/>
      <c r="KTK29" s="133"/>
      <c r="KTL29" s="133"/>
      <c r="KTM29" s="133"/>
      <c r="KTN29" s="133"/>
      <c r="KTO29" s="133"/>
      <c r="KTP29" s="133"/>
      <c r="KTQ29" s="133"/>
      <c r="KTR29" s="133"/>
      <c r="KTS29" s="133"/>
      <c r="KTT29" s="133"/>
      <c r="KTU29" s="133"/>
      <c r="KTV29" s="133"/>
      <c r="KTW29" s="133"/>
      <c r="KTX29" s="133"/>
      <c r="KTY29" s="133"/>
      <c r="KTZ29" s="133"/>
      <c r="KUA29" s="133"/>
      <c r="KUB29" s="133"/>
      <c r="KUC29" s="133"/>
      <c r="KUD29" s="133"/>
      <c r="KUE29" s="133"/>
      <c r="KUF29" s="133"/>
      <c r="KUG29" s="133"/>
      <c r="KUH29" s="133"/>
      <c r="KUI29" s="133"/>
      <c r="KUJ29" s="133"/>
      <c r="KUK29" s="133"/>
      <c r="KUL29" s="133"/>
      <c r="KUM29" s="133"/>
      <c r="KUN29" s="133"/>
      <c r="KUO29" s="133"/>
      <c r="KUP29" s="133"/>
      <c r="KUQ29" s="133"/>
      <c r="KUR29" s="133"/>
      <c r="KUS29" s="133"/>
      <c r="KUT29" s="133"/>
      <c r="KUU29" s="133"/>
      <c r="KUV29" s="133"/>
      <c r="KUW29" s="133"/>
      <c r="KUX29" s="133"/>
      <c r="KUY29" s="133"/>
      <c r="KUZ29" s="133"/>
      <c r="KVA29" s="133"/>
      <c r="KVB29" s="133"/>
      <c r="KVC29" s="133"/>
      <c r="KVD29" s="133"/>
      <c r="KVE29" s="133"/>
      <c r="KVF29" s="133"/>
      <c r="KVG29" s="133"/>
      <c r="KVH29" s="133"/>
      <c r="KVI29" s="133"/>
      <c r="KVJ29" s="133"/>
      <c r="KVK29" s="133"/>
      <c r="KVL29" s="133"/>
      <c r="KVM29" s="133"/>
      <c r="KVN29" s="133"/>
      <c r="KVO29" s="133"/>
      <c r="KVP29" s="133"/>
      <c r="KVQ29" s="133"/>
      <c r="KVR29" s="133"/>
      <c r="KVS29" s="133"/>
      <c r="KVT29" s="133"/>
      <c r="KVU29" s="133"/>
      <c r="KVV29" s="133"/>
      <c r="KVW29" s="133"/>
      <c r="KVX29" s="133"/>
      <c r="KVY29" s="133"/>
      <c r="KVZ29" s="133"/>
      <c r="KWA29" s="133"/>
      <c r="KWB29" s="133"/>
      <c r="KWC29" s="133"/>
      <c r="KWD29" s="133"/>
      <c r="KWE29" s="133"/>
      <c r="KWF29" s="133"/>
      <c r="KWG29" s="133"/>
      <c r="KWH29" s="133"/>
      <c r="KWI29" s="133"/>
      <c r="KWJ29" s="133"/>
      <c r="KWK29" s="133"/>
      <c r="KWL29" s="133"/>
      <c r="KWM29" s="133"/>
      <c r="KWN29" s="133"/>
      <c r="KWO29" s="133"/>
      <c r="KWP29" s="133"/>
      <c r="KWQ29" s="133"/>
      <c r="KWR29" s="133"/>
      <c r="KWS29" s="133"/>
      <c r="KWT29" s="133"/>
      <c r="KWU29" s="133"/>
      <c r="KWV29" s="133"/>
      <c r="KWW29" s="133"/>
      <c r="KWX29" s="133"/>
      <c r="KWY29" s="133"/>
      <c r="KWZ29" s="133"/>
      <c r="KXA29" s="133"/>
      <c r="KXB29" s="133"/>
      <c r="KXC29" s="133"/>
      <c r="KXD29" s="133"/>
      <c r="KXE29" s="133"/>
      <c r="KXF29" s="133"/>
      <c r="KXG29" s="133"/>
      <c r="KXH29" s="133"/>
      <c r="KXI29" s="133"/>
      <c r="KXJ29" s="133"/>
      <c r="KXK29" s="133"/>
      <c r="KXL29" s="133"/>
      <c r="KXM29" s="133"/>
      <c r="KXN29" s="133"/>
      <c r="KXO29" s="133"/>
      <c r="KXP29" s="133"/>
      <c r="KXQ29" s="133"/>
      <c r="KXR29" s="133"/>
      <c r="KXS29" s="133"/>
      <c r="KXT29" s="133"/>
      <c r="KXU29" s="133"/>
      <c r="KXV29" s="133"/>
      <c r="KXW29" s="133"/>
      <c r="KXX29" s="133"/>
      <c r="KXY29" s="133"/>
      <c r="KXZ29" s="133"/>
      <c r="KYA29" s="133"/>
      <c r="KYB29" s="133"/>
      <c r="KYC29" s="133"/>
      <c r="KYD29" s="133"/>
      <c r="KYE29" s="133"/>
      <c r="KYF29" s="133"/>
      <c r="KYG29" s="133"/>
      <c r="KYH29" s="133"/>
      <c r="KYI29" s="133"/>
      <c r="KYJ29" s="133"/>
      <c r="KYK29" s="133"/>
      <c r="KYL29" s="133"/>
      <c r="KYM29" s="133"/>
      <c r="KYN29" s="133"/>
      <c r="KYO29" s="133"/>
      <c r="KYP29" s="133"/>
      <c r="KYQ29" s="133"/>
      <c r="KYR29" s="133"/>
      <c r="KYS29" s="133"/>
      <c r="KYT29" s="133"/>
      <c r="KYU29" s="133"/>
      <c r="KYV29" s="133"/>
      <c r="KYW29" s="133"/>
      <c r="KYX29" s="133"/>
      <c r="KYY29" s="133"/>
      <c r="KYZ29" s="133"/>
      <c r="KZA29" s="133"/>
      <c r="KZB29" s="133"/>
      <c r="KZC29" s="133"/>
      <c r="KZD29" s="133"/>
      <c r="KZE29" s="133"/>
      <c r="KZF29" s="133"/>
      <c r="KZG29" s="133"/>
      <c r="KZH29" s="133"/>
      <c r="KZI29" s="133"/>
      <c r="KZJ29" s="133"/>
      <c r="KZK29" s="133"/>
      <c r="KZL29" s="133"/>
      <c r="KZM29" s="133"/>
      <c r="KZN29" s="133"/>
      <c r="KZO29" s="133"/>
      <c r="KZP29" s="133"/>
      <c r="KZQ29" s="133"/>
      <c r="KZR29" s="133"/>
      <c r="KZS29" s="133"/>
      <c r="KZT29" s="133"/>
      <c r="KZU29" s="133"/>
      <c r="KZV29" s="133"/>
      <c r="KZW29" s="133"/>
      <c r="KZX29" s="133"/>
      <c r="KZY29" s="133"/>
      <c r="KZZ29" s="133"/>
      <c r="LAA29" s="133"/>
      <c r="LAB29" s="133"/>
      <c r="LAC29" s="133"/>
      <c r="LAD29" s="133"/>
      <c r="LAE29" s="133"/>
      <c r="LAF29" s="133"/>
      <c r="LAG29" s="133"/>
      <c r="LAH29" s="133"/>
      <c r="LAI29" s="133"/>
      <c r="LAJ29" s="133"/>
      <c r="LAK29" s="133"/>
      <c r="LAL29" s="133"/>
      <c r="LAM29" s="133"/>
      <c r="LAN29" s="133"/>
      <c r="LAO29" s="133"/>
      <c r="LAP29" s="133"/>
      <c r="LAQ29" s="133"/>
      <c r="LAR29" s="133"/>
      <c r="LAS29" s="133"/>
      <c r="LAT29" s="133"/>
      <c r="LAU29" s="133"/>
      <c r="LAV29" s="133"/>
      <c r="LAW29" s="133"/>
      <c r="LAX29" s="133"/>
      <c r="LAY29" s="133"/>
      <c r="LAZ29" s="133"/>
      <c r="LBA29" s="133"/>
      <c r="LBB29" s="133"/>
      <c r="LBC29" s="133"/>
      <c r="LBD29" s="133"/>
      <c r="LBE29" s="133"/>
      <c r="LBF29" s="133"/>
      <c r="LBG29" s="133"/>
      <c r="LBH29" s="133"/>
      <c r="LBI29" s="133"/>
      <c r="LBJ29" s="133"/>
      <c r="LBK29" s="133"/>
      <c r="LBL29" s="133"/>
      <c r="LBM29" s="133"/>
      <c r="LBN29" s="133"/>
      <c r="LBO29" s="133"/>
      <c r="LBP29" s="133"/>
      <c r="LBQ29" s="133"/>
      <c r="LBR29" s="133"/>
      <c r="LBS29" s="133"/>
      <c r="LBT29" s="133"/>
      <c r="LBU29" s="133"/>
      <c r="LBV29" s="133"/>
      <c r="LBW29" s="133"/>
      <c r="LBX29" s="133"/>
      <c r="LBY29" s="133"/>
      <c r="LBZ29" s="133"/>
      <c r="LCA29" s="133"/>
      <c r="LCB29" s="133"/>
      <c r="LCC29" s="133"/>
      <c r="LCD29" s="133"/>
      <c r="LCE29" s="133"/>
      <c r="LCF29" s="133"/>
      <c r="LCG29" s="133"/>
      <c r="LCH29" s="133"/>
      <c r="LCI29" s="133"/>
      <c r="LCJ29" s="133"/>
      <c r="LCK29" s="133"/>
      <c r="LCL29" s="133"/>
      <c r="LCM29" s="133"/>
      <c r="LCN29" s="133"/>
      <c r="LCO29" s="133"/>
      <c r="LCP29" s="133"/>
      <c r="LCQ29" s="133"/>
      <c r="LCR29" s="133"/>
      <c r="LCS29" s="133"/>
      <c r="LCT29" s="133"/>
      <c r="LCU29" s="133"/>
      <c r="LCV29" s="133"/>
      <c r="LCW29" s="133"/>
      <c r="LCX29" s="133"/>
      <c r="LCY29" s="133"/>
      <c r="LCZ29" s="133"/>
      <c r="LDA29" s="133"/>
      <c r="LDB29" s="133"/>
      <c r="LDC29" s="133"/>
      <c r="LDD29" s="133"/>
      <c r="LDE29" s="133"/>
      <c r="LDF29" s="133"/>
      <c r="LDG29" s="133"/>
      <c r="LDH29" s="133"/>
      <c r="LDI29" s="133"/>
      <c r="LDJ29" s="133"/>
      <c r="LDK29" s="133"/>
      <c r="LDL29" s="133"/>
      <c r="LDM29" s="133"/>
      <c r="LDN29" s="133"/>
      <c r="LDO29" s="133"/>
      <c r="LDP29" s="133"/>
      <c r="LDQ29" s="133"/>
      <c r="LDR29" s="133"/>
      <c r="LDS29" s="133"/>
      <c r="LDT29" s="133"/>
      <c r="LDU29" s="133"/>
      <c r="LDV29" s="133"/>
      <c r="LDW29" s="133"/>
      <c r="LDX29" s="133"/>
      <c r="LDY29" s="133"/>
      <c r="LDZ29" s="133"/>
      <c r="LEA29" s="133"/>
      <c r="LEB29" s="133"/>
      <c r="LEC29" s="133"/>
      <c r="LED29" s="133"/>
      <c r="LEE29" s="133"/>
      <c r="LEF29" s="133"/>
      <c r="LEG29" s="133"/>
      <c r="LEH29" s="133"/>
      <c r="LEI29" s="133"/>
      <c r="LEJ29" s="133"/>
      <c r="LEK29" s="133"/>
      <c r="LEL29" s="133"/>
      <c r="LEM29" s="133"/>
      <c r="LEN29" s="133"/>
      <c r="LEO29" s="133"/>
      <c r="LEP29" s="133"/>
      <c r="LEQ29" s="133"/>
      <c r="LER29" s="133"/>
      <c r="LES29" s="133"/>
      <c r="LET29" s="133"/>
      <c r="LEU29" s="133"/>
      <c r="LEV29" s="133"/>
      <c r="LEW29" s="133"/>
      <c r="LEX29" s="133"/>
      <c r="LEY29" s="133"/>
      <c r="LEZ29" s="133"/>
      <c r="LFA29" s="133"/>
      <c r="LFB29" s="133"/>
      <c r="LFC29" s="133"/>
      <c r="LFD29" s="133"/>
      <c r="LFE29" s="133"/>
      <c r="LFF29" s="133"/>
      <c r="LFG29" s="133"/>
      <c r="LFH29" s="133"/>
      <c r="LFI29" s="133"/>
      <c r="LFJ29" s="133"/>
      <c r="LFK29" s="133"/>
      <c r="LFL29" s="133"/>
      <c r="LFM29" s="133"/>
      <c r="LFN29" s="133"/>
      <c r="LFO29" s="133"/>
      <c r="LFP29" s="133"/>
      <c r="LFQ29" s="133"/>
      <c r="LFR29" s="133"/>
      <c r="LFS29" s="133"/>
      <c r="LFT29" s="133"/>
      <c r="LFU29" s="133"/>
      <c r="LFV29" s="133"/>
      <c r="LFW29" s="133"/>
      <c r="LFX29" s="133"/>
      <c r="LFY29" s="133"/>
      <c r="LFZ29" s="133"/>
      <c r="LGA29" s="133"/>
      <c r="LGB29" s="133"/>
      <c r="LGC29" s="133"/>
      <c r="LGD29" s="133"/>
      <c r="LGE29" s="133"/>
      <c r="LGF29" s="133"/>
      <c r="LGG29" s="133"/>
      <c r="LGH29" s="133"/>
      <c r="LGI29" s="133"/>
      <c r="LGJ29" s="133"/>
      <c r="LGK29" s="133"/>
      <c r="LGL29" s="133"/>
      <c r="LGM29" s="133"/>
      <c r="LGN29" s="133"/>
      <c r="LGO29" s="133"/>
      <c r="LGP29" s="133"/>
      <c r="LGQ29" s="133"/>
      <c r="LGR29" s="133"/>
      <c r="LGS29" s="133"/>
      <c r="LGT29" s="133"/>
      <c r="LGU29" s="133"/>
      <c r="LGV29" s="133"/>
      <c r="LGW29" s="133"/>
      <c r="LGX29" s="133"/>
      <c r="LGY29" s="133"/>
      <c r="LGZ29" s="133"/>
      <c r="LHA29" s="133"/>
      <c r="LHB29" s="133"/>
      <c r="LHC29" s="133"/>
      <c r="LHD29" s="133"/>
      <c r="LHE29" s="133"/>
      <c r="LHF29" s="133"/>
      <c r="LHG29" s="133"/>
      <c r="LHH29" s="133"/>
      <c r="LHI29" s="133"/>
      <c r="LHJ29" s="133"/>
      <c r="LHK29" s="133"/>
      <c r="LHL29" s="133"/>
      <c r="LHM29" s="133"/>
      <c r="LHN29" s="133"/>
      <c r="LHO29" s="133"/>
      <c r="LHP29" s="133"/>
      <c r="LHQ29" s="133"/>
      <c r="LHR29" s="133"/>
      <c r="LHS29" s="133"/>
      <c r="LHT29" s="133"/>
      <c r="LHU29" s="133"/>
      <c r="LHV29" s="133"/>
      <c r="LHW29" s="133"/>
      <c r="LHX29" s="133"/>
      <c r="LHY29" s="133"/>
      <c r="LHZ29" s="133"/>
      <c r="LIA29" s="133"/>
      <c r="LIB29" s="133"/>
      <c r="LIC29" s="133"/>
      <c r="LID29" s="133"/>
      <c r="LIE29" s="133"/>
      <c r="LIF29" s="133"/>
      <c r="LIG29" s="133"/>
      <c r="LIH29" s="133"/>
      <c r="LII29" s="133"/>
      <c r="LIJ29" s="133"/>
      <c r="LIK29" s="133"/>
      <c r="LIL29" s="133"/>
      <c r="LIM29" s="133"/>
      <c r="LIN29" s="133"/>
      <c r="LIO29" s="133"/>
      <c r="LIP29" s="133"/>
      <c r="LIQ29" s="133"/>
      <c r="LIR29" s="133"/>
      <c r="LIS29" s="133"/>
      <c r="LIT29" s="133"/>
      <c r="LIU29" s="133"/>
      <c r="LIV29" s="133"/>
      <c r="LIW29" s="133"/>
      <c r="LIX29" s="133"/>
      <c r="LIY29" s="133"/>
      <c r="LIZ29" s="133"/>
      <c r="LJA29" s="133"/>
      <c r="LJB29" s="133"/>
      <c r="LJC29" s="133"/>
      <c r="LJD29" s="133"/>
      <c r="LJE29" s="133"/>
      <c r="LJF29" s="133"/>
      <c r="LJG29" s="133"/>
      <c r="LJH29" s="133"/>
      <c r="LJI29" s="133"/>
      <c r="LJJ29" s="133"/>
      <c r="LJK29" s="133"/>
      <c r="LJL29" s="133"/>
      <c r="LJM29" s="133"/>
      <c r="LJN29" s="133"/>
      <c r="LJO29" s="133"/>
      <c r="LJP29" s="133"/>
      <c r="LJQ29" s="133"/>
      <c r="LJR29" s="133"/>
      <c r="LJS29" s="133"/>
      <c r="LJT29" s="133"/>
      <c r="LJU29" s="133"/>
      <c r="LJV29" s="133"/>
      <c r="LJW29" s="133"/>
      <c r="LJX29" s="133"/>
      <c r="LJY29" s="133"/>
      <c r="LJZ29" s="133"/>
      <c r="LKA29" s="133"/>
      <c r="LKB29" s="133"/>
      <c r="LKC29" s="133"/>
      <c r="LKD29" s="133"/>
      <c r="LKE29" s="133"/>
      <c r="LKF29" s="133"/>
      <c r="LKG29" s="133"/>
      <c r="LKH29" s="133"/>
      <c r="LKI29" s="133"/>
      <c r="LKJ29" s="133"/>
      <c r="LKK29" s="133"/>
      <c r="LKL29" s="133"/>
      <c r="LKM29" s="133"/>
      <c r="LKN29" s="133"/>
      <c r="LKO29" s="133"/>
      <c r="LKP29" s="133"/>
      <c r="LKQ29" s="133"/>
      <c r="LKR29" s="133"/>
      <c r="LKS29" s="133"/>
      <c r="LKT29" s="133"/>
      <c r="LKU29" s="133"/>
      <c r="LKV29" s="133"/>
      <c r="LKW29" s="133"/>
      <c r="LKX29" s="133"/>
      <c r="LKY29" s="133"/>
      <c r="LKZ29" s="133"/>
      <c r="LLA29" s="133"/>
      <c r="LLB29" s="133"/>
      <c r="LLC29" s="133"/>
      <c r="LLD29" s="133"/>
      <c r="LLE29" s="133"/>
      <c r="LLF29" s="133"/>
      <c r="LLG29" s="133"/>
      <c r="LLH29" s="133"/>
      <c r="LLI29" s="133"/>
      <c r="LLJ29" s="133"/>
      <c r="LLK29" s="133"/>
      <c r="LLL29" s="133"/>
      <c r="LLM29" s="133"/>
      <c r="LLN29" s="133"/>
      <c r="LLO29" s="133"/>
      <c r="LLP29" s="133"/>
      <c r="LLQ29" s="133"/>
      <c r="LLR29" s="133"/>
      <c r="LLS29" s="133"/>
      <c r="LLT29" s="133"/>
      <c r="LLU29" s="133"/>
      <c r="LLV29" s="133"/>
      <c r="LLW29" s="133"/>
      <c r="LLX29" s="133"/>
      <c r="LLY29" s="133"/>
      <c r="LLZ29" s="133"/>
      <c r="LMA29" s="133"/>
      <c r="LMB29" s="133"/>
      <c r="LMC29" s="133"/>
      <c r="LMD29" s="133"/>
      <c r="LME29" s="133"/>
      <c r="LMF29" s="133"/>
      <c r="LMG29" s="133"/>
      <c r="LMH29" s="133"/>
      <c r="LMI29" s="133"/>
      <c r="LMJ29" s="133"/>
      <c r="LMK29" s="133"/>
      <c r="LML29" s="133"/>
      <c r="LMM29" s="133"/>
      <c r="LMN29" s="133"/>
      <c r="LMO29" s="133"/>
      <c r="LMP29" s="133"/>
      <c r="LMQ29" s="133"/>
      <c r="LMR29" s="133"/>
      <c r="LMS29" s="133"/>
      <c r="LMT29" s="133"/>
      <c r="LMU29" s="133"/>
      <c r="LMV29" s="133"/>
      <c r="LMW29" s="133"/>
      <c r="LMX29" s="133"/>
      <c r="LMY29" s="133"/>
      <c r="LMZ29" s="133"/>
      <c r="LNA29" s="133"/>
      <c r="LNB29" s="133"/>
      <c r="LNC29" s="133"/>
      <c r="LND29" s="133"/>
      <c r="LNE29" s="133"/>
      <c r="LNF29" s="133"/>
      <c r="LNG29" s="133"/>
      <c r="LNH29" s="133"/>
      <c r="LNI29" s="133"/>
      <c r="LNJ29" s="133"/>
      <c r="LNK29" s="133"/>
      <c r="LNL29" s="133"/>
      <c r="LNM29" s="133"/>
      <c r="LNN29" s="133"/>
      <c r="LNO29" s="133"/>
      <c r="LNP29" s="133"/>
      <c r="LNQ29" s="133"/>
      <c r="LNR29" s="133"/>
      <c r="LNS29" s="133"/>
      <c r="LNT29" s="133"/>
      <c r="LNU29" s="133"/>
      <c r="LNV29" s="133"/>
      <c r="LNW29" s="133"/>
      <c r="LNX29" s="133"/>
      <c r="LNY29" s="133"/>
      <c r="LNZ29" s="133"/>
      <c r="LOA29" s="133"/>
      <c r="LOB29" s="133"/>
      <c r="LOC29" s="133"/>
      <c r="LOD29" s="133"/>
      <c r="LOE29" s="133"/>
      <c r="LOF29" s="133"/>
      <c r="LOG29" s="133"/>
      <c r="LOH29" s="133"/>
      <c r="LOI29" s="133"/>
      <c r="LOJ29" s="133"/>
      <c r="LOK29" s="133"/>
      <c r="LOL29" s="133"/>
      <c r="LOM29" s="133"/>
      <c r="LON29" s="133"/>
      <c r="LOO29" s="133"/>
      <c r="LOP29" s="133"/>
      <c r="LOQ29" s="133"/>
      <c r="LOR29" s="133"/>
      <c r="LOS29" s="133"/>
      <c r="LOT29" s="133"/>
      <c r="LOU29" s="133"/>
      <c r="LOV29" s="133"/>
      <c r="LOW29" s="133"/>
      <c r="LOX29" s="133"/>
      <c r="LOY29" s="133"/>
      <c r="LOZ29" s="133"/>
      <c r="LPA29" s="133"/>
      <c r="LPB29" s="133"/>
      <c r="LPC29" s="133"/>
      <c r="LPD29" s="133"/>
      <c r="LPE29" s="133"/>
      <c r="LPF29" s="133"/>
      <c r="LPG29" s="133"/>
      <c r="LPH29" s="133"/>
      <c r="LPI29" s="133"/>
      <c r="LPJ29" s="133"/>
      <c r="LPK29" s="133"/>
      <c r="LPL29" s="133"/>
      <c r="LPM29" s="133"/>
      <c r="LPN29" s="133"/>
      <c r="LPO29" s="133"/>
      <c r="LPP29" s="133"/>
      <c r="LPQ29" s="133"/>
      <c r="LPR29" s="133"/>
      <c r="LPS29" s="133"/>
      <c r="LPT29" s="133"/>
      <c r="LPU29" s="133"/>
      <c r="LPV29" s="133"/>
      <c r="LPW29" s="133"/>
      <c r="LPX29" s="133"/>
      <c r="LPY29" s="133"/>
      <c r="LPZ29" s="133"/>
      <c r="LQA29" s="133"/>
      <c r="LQB29" s="133"/>
      <c r="LQC29" s="133"/>
      <c r="LQD29" s="133"/>
      <c r="LQE29" s="133"/>
      <c r="LQF29" s="133"/>
      <c r="LQG29" s="133"/>
      <c r="LQH29" s="133"/>
      <c r="LQI29" s="133"/>
      <c r="LQJ29" s="133"/>
      <c r="LQK29" s="133"/>
      <c r="LQL29" s="133"/>
      <c r="LQM29" s="133"/>
      <c r="LQN29" s="133"/>
      <c r="LQO29" s="133"/>
      <c r="LQP29" s="133"/>
      <c r="LQQ29" s="133"/>
      <c r="LQR29" s="133"/>
      <c r="LQS29" s="133"/>
      <c r="LQT29" s="133"/>
      <c r="LQU29" s="133"/>
      <c r="LQV29" s="133"/>
      <c r="LQW29" s="133"/>
      <c r="LQX29" s="133"/>
      <c r="LQY29" s="133"/>
      <c r="LQZ29" s="133"/>
      <c r="LRA29" s="133"/>
      <c r="LRB29" s="133"/>
      <c r="LRC29" s="133"/>
      <c r="LRD29" s="133"/>
      <c r="LRE29" s="133"/>
      <c r="LRF29" s="133"/>
      <c r="LRG29" s="133"/>
      <c r="LRH29" s="133"/>
      <c r="LRI29" s="133"/>
      <c r="LRJ29" s="133"/>
      <c r="LRK29" s="133"/>
      <c r="LRL29" s="133"/>
      <c r="LRM29" s="133"/>
      <c r="LRN29" s="133"/>
      <c r="LRO29" s="133"/>
      <c r="LRP29" s="133"/>
      <c r="LRQ29" s="133"/>
      <c r="LRR29" s="133"/>
      <c r="LRS29" s="133"/>
      <c r="LRT29" s="133"/>
      <c r="LRU29" s="133"/>
      <c r="LRV29" s="133"/>
      <c r="LRW29" s="133"/>
      <c r="LRX29" s="133"/>
      <c r="LRY29" s="133"/>
      <c r="LRZ29" s="133"/>
      <c r="LSA29" s="133"/>
      <c r="LSB29" s="133"/>
      <c r="LSC29" s="133"/>
      <c r="LSD29" s="133"/>
      <c r="LSE29" s="133"/>
      <c r="LSF29" s="133"/>
      <c r="LSG29" s="133"/>
      <c r="LSH29" s="133"/>
      <c r="LSI29" s="133"/>
      <c r="LSJ29" s="133"/>
      <c r="LSK29" s="133"/>
      <c r="LSL29" s="133"/>
      <c r="LSM29" s="133"/>
      <c r="LSN29" s="133"/>
      <c r="LSO29" s="133"/>
      <c r="LSP29" s="133"/>
      <c r="LSQ29" s="133"/>
      <c r="LSR29" s="133"/>
      <c r="LSS29" s="133"/>
      <c r="LST29" s="133"/>
      <c r="LSU29" s="133"/>
      <c r="LSV29" s="133"/>
      <c r="LSW29" s="133"/>
      <c r="LSX29" s="133"/>
      <c r="LSY29" s="133"/>
      <c r="LSZ29" s="133"/>
      <c r="LTA29" s="133"/>
      <c r="LTB29" s="133"/>
      <c r="LTC29" s="133"/>
      <c r="LTD29" s="133"/>
      <c r="LTE29" s="133"/>
      <c r="LTF29" s="133"/>
      <c r="LTG29" s="133"/>
      <c r="LTH29" s="133"/>
      <c r="LTI29" s="133"/>
      <c r="LTJ29" s="133"/>
      <c r="LTK29" s="133"/>
      <c r="LTL29" s="133"/>
      <c r="LTM29" s="133"/>
      <c r="LTN29" s="133"/>
      <c r="LTO29" s="133"/>
      <c r="LTP29" s="133"/>
      <c r="LTQ29" s="133"/>
      <c r="LTR29" s="133"/>
      <c r="LTS29" s="133"/>
      <c r="LTT29" s="133"/>
      <c r="LTU29" s="133"/>
      <c r="LTV29" s="133"/>
      <c r="LTW29" s="133"/>
      <c r="LTX29" s="133"/>
      <c r="LTY29" s="133"/>
      <c r="LTZ29" s="133"/>
      <c r="LUA29" s="133"/>
      <c r="LUB29" s="133"/>
      <c r="LUC29" s="133"/>
      <c r="LUD29" s="133"/>
      <c r="LUE29" s="133"/>
      <c r="LUF29" s="133"/>
      <c r="LUG29" s="133"/>
      <c r="LUH29" s="133"/>
      <c r="LUI29" s="133"/>
      <c r="LUJ29" s="133"/>
      <c r="LUK29" s="133"/>
      <c r="LUL29" s="133"/>
      <c r="LUM29" s="133"/>
      <c r="LUN29" s="133"/>
      <c r="LUO29" s="133"/>
      <c r="LUP29" s="133"/>
      <c r="LUQ29" s="133"/>
      <c r="LUR29" s="133"/>
      <c r="LUS29" s="133"/>
      <c r="LUT29" s="133"/>
      <c r="LUU29" s="133"/>
      <c r="LUV29" s="133"/>
      <c r="LUW29" s="133"/>
      <c r="LUX29" s="133"/>
      <c r="LUY29" s="133"/>
      <c r="LUZ29" s="133"/>
      <c r="LVA29" s="133"/>
      <c r="LVB29" s="133"/>
      <c r="LVC29" s="133"/>
      <c r="LVD29" s="133"/>
      <c r="LVE29" s="133"/>
      <c r="LVF29" s="133"/>
      <c r="LVG29" s="133"/>
      <c r="LVH29" s="133"/>
      <c r="LVI29" s="133"/>
      <c r="LVJ29" s="133"/>
      <c r="LVK29" s="133"/>
      <c r="LVL29" s="133"/>
      <c r="LVM29" s="133"/>
      <c r="LVN29" s="133"/>
      <c r="LVO29" s="133"/>
      <c r="LVP29" s="133"/>
      <c r="LVQ29" s="133"/>
      <c r="LVR29" s="133"/>
      <c r="LVS29" s="133"/>
      <c r="LVT29" s="133"/>
      <c r="LVU29" s="133"/>
      <c r="LVV29" s="133"/>
      <c r="LVW29" s="133"/>
      <c r="LVX29" s="133"/>
      <c r="LVY29" s="133"/>
      <c r="LVZ29" s="133"/>
      <c r="LWA29" s="133"/>
      <c r="LWB29" s="133"/>
      <c r="LWC29" s="133"/>
      <c r="LWD29" s="133"/>
      <c r="LWE29" s="133"/>
      <c r="LWF29" s="133"/>
      <c r="LWG29" s="133"/>
      <c r="LWH29" s="133"/>
      <c r="LWI29" s="133"/>
      <c r="LWJ29" s="133"/>
      <c r="LWK29" s="133"/>
      <c r="LWL29" s="133"/>
      <c r="LWM29" s="133"/>
      <c r="LWN29" s="133"/>
      <c r="LWO29" s="133"/>
      <c r="LWP29" s="133"/>
      <c r="LWQ29" s="133"/>
      <c r="LWR29" s="133"/>
      <c r="LWS29" s="133"/>
      <c r="LWT29" s="133"/>
      <c r="LWU29" s="133"/>
      <c r="LWV29" s="133"/>
      <c r="LWW29" s="133"/>
      <c r="LWX29" s="133"/>
      <c r="LWY29" s="133"/>
      <c r="LWZ29" s="133"/>
      <c r="LXA29" s="133"/>
      <c r="LXB29" s="133"/>
      <c r="LXC29" s="133"/>
      <c r="LXD29" s="133"/>
      <c r="LXE29" s="133"/>
      <c r="LXF29" s="133"/>
      <c r="LXG29" s="133"/>
      <c r="LXH29" s="133"/>
      <c r="LXI29" s="133"/>
      <c r="LXJ29" s="133"/>
      <c r="LXK29" s="133"/>
      <c r="LXL29" s="133"/>
      <c r="LXM29" s="133"/>
      <c r="LXN29" s="133"/>
      <c r="LXO29" s="133"/>
      <c r="LXP29" s="133"/>
      <c r="LXQ29" s="133"/>
      <c r="LXR29" s="133"/>
      <c r="LXS29" s="133"/>
      <c r="LXT29" s="133"/>
      <c r="LXU29" s="133"/>
      <c r="LXV29" s="133"/>
      <c r="LXW29" s="133"/>
      <c r="LXX29" s="133"/>
      <c r="LXY29" s="133"/>
      <c r="LXZ29" s="133"/>
      <c r="LYA29" s="133"/>
      <c r="LYB29" s="133"/>
      <c r="LYC29" s="133"/>
      <c r="LYD29" s="133"/>
      <c r="LYE29" s="133"/>
      <c r="LYF29" s="133"/>
      <c r="LYG29" s="133"/>
      <c r="LYH29" s="133"/>
      <c r="LYI29" s="133"/>
      <c r="LYJ29" s="133"/>
      <c r="LYK29" s="133"/>
      <c r="LYL29" s="133"/>
      <c r="LYM29" s="133"/>
      <c r="LYN29" s="133"/>
      <c r="LYO29" s="133"/>
      <c r="LYP29" s="133"/>
      <c r="LYQ29" s="133"/>
      <c r="LYR29" s="133"/>
      <c r="LYS29" s="133"/>
      <c r="LYT29" s="133"/>
      <c r="LYU29" s="133"/>
      <c r="LYV29" s="133"/>
      <c r="LYW29" s="133"/>
      <c r="LYX29" s="133"/>
      <c r="LYY29" s="133"/>
      <c r="LYZ29" s="133"/>
      <c r="LZA29" s="133"/>
      <c r="LZB29" s="133"/>
      <c r="LZC29" s="133"/>
      <c r="LZD29" s="133"/>
      <c r="LZE29" s="133"/>
      <c r="LZF29" s="133"/>
      <c r="LZG29" s="133"/>
      <c r="LZH29" s="133"/>
      <c r="LZI29" s="133"/>
      <c r="LZJ29" s="133"/>
      <c r="LZK29" s="133"/>
      <c r="LZL29" s="133"/>
      <c r="LZM29" s="133"/>
      <c r="LZN29" s="133"/>
      <c r="LZO29" s="133"/>
      <c r="LZP29" s="133"/>
      <c r="LZQ29" s="133"/>
      <c r="LZR29" s="133"/>
      <c r="LZS29" s="133"/>
      <c r="LZT29" s="133"/>
      <c r="LZU29" s="133"/>
      <c r="LZV29" s="133"/>
      <c r="LZW29" s="133"/>
      <c r="LZX29" s="133"/>
      <c r="LZY29" s="133"/>
      <c r="LZZ29" s="133"/>
      <c r="MAA29" s="133"/>
      <c r="MAB29" s="133"/>
      <c r="MAC29" s="133"/>
      <c r="MAD29" s="133"/>
      <c r="MAE29" s="133"/>
      <c r="MAF29" s="133"/>
      <c r="MAG29" s="133"/>
      <c r="MAH29" s="133"/>
      <c r="MAI29" s="133"/>
      <c r="MAJ29" s="133"/>
      <c r="MAK29" s="133"/>
      <c r="MAL29" s="133"/>
      <c r="MAM29" s="133"/>
      <c r="MAN29" s="133"/>
      <c r="MAO29" s="133"/>
      <c r="MAP29" s="133"/>
      <c r="MAQ29" s="133"/>
      <c r="MAR29" s="133"/>
      <c r="MAS29" s="133"/>
      <c r="MAT29" s="133"/>
      <c r="MAU29" s="133"/>
      <c r="MAV29" s="133"/>
      <c r="MAW29" s="133"/>
      <c r="MAX29" s="133"/>
      <c r="MAY29" s="133"/>
      <c r="MAZ29" s="133"/>
      <c r="MBA29" s="133"/>
      <c r="MBB29" s="133"/>
      <c r="MBC29" s="133"/>
      <c r="MBD29" s="133"/>
      <c r="MBE29" s="133"/>
      <c r="MBF29" s="133"/>
      <c r="MBG29" s="133"/>
      <c r="MBH29" s="133"/>
      <c r="MBI29" s="133"/>
      <c r="MBJ29" s="133"/>
      <c r="MBK29" s="133"/>
      <c r="MBL29" s="133"/>
      <c r="MBM29" s="133"/>
      <c r="MBN29" s="133"/>
      <c r="MBO29" s="133"/>
      <c r="MBP29" s="133"/>
      <c r="MBQ29" s="133"/>
      <c r="MBR29" s="133"/>
      <c r="MBS29" s="133"/>
      <c r="MBT29" s="133"/>
      <c r="MBU29" s="133"/>
      <c r="MBV29" s="133"/>
      <c r="MBW29" s="133"/>
      <c r="MBX29" s="133"/>
      <c r="MBY29" s="133"/>
      <c r="MBZ29" s="133"/>
      <c r="MCA29" s="133"/>
      <c r="MCB29" s="133"/>
      <c r="MCC29" s="133"/>
      <c r="MCD29" s="133"/>
      <c r="MCE29" s="133"/>
      <c r="MCF29" s="133"/>
      <c r="MCG29" s="133"/>
      <c r="MCH29" s="133"/>
      <c r="MCI29" s="133"/>
      <c r="MCJ29" s="133"/>
      <c r="MCK29" s="133"/>
      <c r="MCL29" s="133"/>
      <c r="MCM29" s="133"/>
      <c r="MCN29" s="133"/>
      <c r="MCO29" s="133"/>
      <c r="MCP29" s="133"/>
      <c r="MCQ29" s="133"/>
      <c r="MCR29" s="133"/>
      <c r="MCS29" s="133"/>
      <c r="MCT29" s="133"/>
      <c r="MCU29" s="133"/>
      <c r="MCV29" s="133"/>
      <c r="MCW29" s="133"/>
      <c r="MCX29" s="133"/>
      <c r="MCY29" s="133"/>
      <c r="MCZ29" s="133"/>
      <c r="MDA29" s="133"/>
      <c r="MDB29" s="133"/>
      <c r="MDC29" s="133"/>
      <c r="MDD29" s="133"/>
      <c r="MDE29" s="133"/>
      <c r="MDF29" s="133"/>
      <c r="MDG29" s="133"/>
      <c r="MDH29" s="133"/>
      <c r="MDI29" s="133"/>
      <c r="MDJ29" s="133"/>
      <c r="MDK29" s="133"/>
      <c r="MDL29" s="133"/>
      <c r="MDM29" s="133"/>
      <c r="MDN29" s="133"/>
      <c r="MDO29" s="133"/>
      <c r="MDP29" s="133"/>
      <c r="MDQ29" s="133"/>
      <c r="MDR29" s="133"/>
      <c r="MDS29" s="133"/>
      <c r="MDT29" s="133"/>
      <c r="MDU29" s="133"/>
      <c r="MDV29" s="133"/>
      <c r="MDW29" s="133"/>
      <c r="MDX29" s="133"/>
      <c r="MDY29" s="133"/>
      <c r="MDZ29" s="133"/>
      <c r="MEA29" s="133"/>
      <c r="MEB29" s="133"/>
      <c r="MEC29" s="133"/>
      <c r="MED29" s="133"/>
      <c r="MEE29" s="133"/>
      <c r="MEF29" s="133"/>
      <c r="MEG29" s="133"/>
      <c r="MEH29" s="133"/>
      <c r="MEI29" s="133"/>
      <c r="MEJ29" s="133"/>
      <c r="MEK29" s="133"/>
      <c r="MEL29" s="133"/>
      <c r="MEM29" s="133"/>
      <c r="MEN29" s="133"/>
      <c r="MEO29" s="133"/>
      <c r="MEP29" s="133"/>
      <c r="MEQ29" s="133"/>
      <c r="MER29" s="133"/>
      <c r="MES29" s="133"/>
      <c r="MET29" s="133"/>
      <c r="MEU29" s="133"/>
      <c r="MEV29" s="133"/>
      <c r="MEW29" s="133"/>
      <c r="MEX29" s="133"/>
      <c r="MEY29" s="133"/>
      <c r="MEZ29" s="133"/>
      <c r="MFA29" s="133"/>
      <c r="MFB29" s="133"/>
      <c r="MFC29" s="133"/>
      <c r="MFD29" s="133"/>
      <c r="MFE29" s="133"/>
      <c r="MFF29" s="133"/>
      <c r="MFG29" s="133"/>
      <c r="MFH29" s="133"/>
      <c r="MFI29" s="133"/>
      <c r="MFJ29" s="133"/>
      <c r="MFK29" s="133"/>
      <c r="MFL29" s="133"/>
      <c r="MFM29" s="133"/>
      <c r="MFN29" s="133"/>
      <c r="MFO29" s="133"/>
      <c r="MFP29" s="133"/>
      <c r="MFQ29" s="133"/>
      <c r="MFR29" s="133"/>
      <c r="MFS29" s="133"/>
      <c r="MFT29" s="133"/>
      <c r="MFU29" s="133"/>
      <c r="MFV29" s="133"/>
      <c r="MFW29" s="133"/>
      <c r="MFX29" s="133"/>
      <c r="MFY29" s="133"/>
      <c r="MFZ29" s="133"/>
      <c r="MGA29" s="133"/>
      <c r="MGB29" s="133"/>
      <c r="MGC29" s="133"/>
      <c r="MGD29" s="133"/>
      <c r="MGE29" s="133"/>
      <c r="MGF29" s="133"/>
      <c r="MGG29" s="133"/>
      <c r="MGH29" s="133"/>
      <c r="MGI29" s="133"/>
      <c r="MGJ29" s="133"/>
      <c r="MGK29" s="133"/>
      <c r="MGL29" s="133"/>
      <c r="MGM29" s="133"/>
      <c r="MGN29" s="133"/>
      <c r="MGO29" s="133"/>
      <c r="MGP29" s="133"/>
      <c r="MGQ29" s="133"/>
      <c r="MGR29" s="133"/>
      <c r="MGS29" s="133"/>
      <c r="MGT29" s="133"/>
      <c r="MGU29" s="133"/>
      <c r="MGV29" s="133"/>
      <c r="MGW29" s="133"/>
      <c r="MGX29" s="133"/>
      <c r="MGY29" s="133"/>
      <c r="MGZ29" s="133"/>
      <c r="MHA29" s="133"/>
      <c r="MHB29" s="133"/>
      <c r="MHC29" s="133"/>
      <c r="MHD29" s="133"/>
      <c r="MHE29" s="133"/>
      <c r="MHF29" s="133"/>
      <c r="MHG29" s="133"/>
      <c r="MHH29" s="133"/>
      <c r="MHI29" s="133"/>
      <c r="MHJ29" s="133"/>
      <c r="MHK29" s="133"/>
      <c r="MHL29" s="133"/>
      <c r="MHM29" s="133"/>
      <c r="MHN29" s="133"/>
      <c r="MHO29" s="133"/>
      <c r="MHP29" s="133"/>
      <c r="MHQ29" s="133"/>
      <c r="MHR29" s="133"/>
      <c r="MHS29" s="133"/>
      <c r="MHT29" s="133"/>
      <c r="MHU29" s="133"/>
      <c r="MHV29" s="133"/>
      <c r="MHW29" s="133"/>
      <c r="MHX29" s="133"/>
      <c r="MHY29" s="133"/>
      <c r="MHZ29" s="133"/>
      <c r="MIA29" s="133"/>
      <c r="MIB29" s="133"/>
      <c r="MIC29" s="133"/>
      <c r="MID29" s="133"/>
      <c r="MIE29" s="133"/>
      <c r="MIF29" s="133"/>
      <c r="MIG29" s="133"/>
      <c r="MIH29" s="133"/>
      <c r="MII29" s="133"/>
      <c r="MIJ29" s="133"/>
      <c r="MIK29" s="133"/>
      <c r="MIL29" s="133"/>
      <c r="MIM29" s="133"/>
      <c r="MIN29" s="133"/>
      <c r="MIO29" s="133"/>
      <c r="MIP29" s="133"/>
      <c r="MIQ29" s="133"/>
      <c r="MIR29" s="133"/>
      <c r="MIS29" s="133"/>
      <c r="MIT29" s="133"/>
      <c r="MIU29" s="133"/>
      <c r="MIV29" s="133"/>
      <c r="MIW29" s="133"/>
      <c r="MIX29" s="133"/>
      <c r="MIY29" s="133"/>
      <c r="MIZ29" s="133"/>
      <c r="MJA29" s="133"/>
      <c r="MJB29" s="133"/>
      <c r="MJC29" s="133"/>
      <c r="MJD29" s="133"/>
      <c r="MJE29" s="133"/>
      <c r="MJF29" s="133"/>
      <c r="MJG29" s="133"/>
      <c r="MJH29" s="133"/>
      <c r="MJI29" s="133"/>
      <c r="MJJ29" s="133"/>
      <c r="MJK29" s="133"/>
      <c r="MJL29" s="133"/>
      <c r="MJM29" s="133"/>
      <c r="MJN29" s="133"/>
      <c r="MJO29" s="133"/>
      <c r="MJP29" s="133"/>
      <c r="MJQ29" s="133"/>
      <c r="MJR29" s="133"/>
      <c r="MJS29" s="133"/>
      <c r="MJT29" s="133"/>
      <c r="MJU29" s="133"/>
      <c r="MJV29" s="133"/>
      <c r="MJW29" s="133"/>
      <c r="MJX29" s="133"/>
      <c r="MJY29" s="133"/>
      <c r="MJZ29" s="133"/>
      <c r="MKA29" s="133"/>
      <c r="MKB29" s="133"/>
      <c r="MKC29" s="133"/>
      <c r="MKD29" s="133"/>
      <c r="MKE29" s="133"/>
      <c r="MKF29" s="133"/>
      <c r="MKG29" s="133"/>
      <c r="MKH29" s="133"/>
      <c r="MKI29" s="133"/>
      <c r="MKJ29" s="133"/>
      <c r="MKK29" s="133"/>
      <c r="MKL29" s="133"/>
      <c r="MKM29" s="133"/>
      <c r="MKN29" s="133"/>
      <c r="MKO29" s="133"/>
      <c r="MKP29" s="133"/>
      <c r="MKQ29" s="133"/>
      <c r="MKR29" s="133"/>
      <c r="MKS29" s="133"/>
      <c r="MKT29" s="133"/>
      <c r="MKU29" s="133"/>
      <c r="MKV29" s="133"/>
      <c r="MKW29" s="133"/>
      <c r="MKX29" s="133"/>
      <c r="MKY29" s="133"/>
      <c r="MKZ29" s="133"/>
      <c r="MLA29" s="133"/>
      <c r="MLB29" s="133"/>
      <c r="MLC29" s="133"/>
      <c r="MLD29" s="133"/>
      <c r="MLE29" s="133"/>
      <c r="MLF29" s="133"/>
      <c r="MLG29" s="133"/>
      <c r="MLH29" s="133"/>
      <c r="MLI29" s="133"/>
      <c r="MLJ29" s="133"/>
      <c r="MLK29" s="133"/>
      <c r="MLL29" s="133"/>
      <c r="MLM29" s="133"/>
      <c r="MLN29" s="133"/>
      <c r="MLO29" s="133"/>
      <c r="MLP29" s="133"/>
      <c r="MLQ29" s="133"/>
      <c r="MLR29" s="133"/>
      <c r="MLS29" s="133"/>
      <c r="MLT29" s="133"/>
      <c r="MLU29" s="133"/>
      <c r="MLV29" s="133"/>
      <c r="MLW29" s="133"/>
      <c r="MLX29" s="133"/>
      <c r="MLY29" s="133"/>
      <c r="MLZ29" s="133"/>
      <c r="MMA29" s="133"/>
      <c r="MMB29" s="133"/>
      <c r="MMC29" s="133"/>
      <c r="MMD29" s="133"/>
      <c r="MME29" s="133"/>
      <c r="MMF29" s="133"/>
      <c r="MMG29" s="133"/>
      <c r="MMH29" s="133"/>
      <c r="MMI29" s="133"/>
      <c r="MMJ29" s="133"/>
      <c r="MMK29" s="133"/>
      <c r="MML29" s="133"/>
      <c r="MMM29" s="133"/>
      <c r="MMN29" s="133"/>
      <c r="MMO29" s="133"/>
      <c r="MMP29" s="133"/>
      <c r="MMQ29" s="133"/>
      <c r="MMR29" s="133"/>
      <c r="MMS29" s="133"/>
      <c r="MMT29" s="133"/>
      <c r="MMU29" s="133"/>
      <c r="MMV29" s="133"/>
      <c r="MMW29" s="133"/>
      <c r="MMX29" s="133"/>
      <c r="MMY29" s="133"/>
      <c r="MMZ29" s="133"/>
      <c r="MNA29" s="133"/>
      <c r="MNB29" s="133"/>
      <c r="MNC29" s="133"/>
      <c r="MND29" s="133"/>
      <c r="MNE29" s="133"/>
      <c r="MNF29" s="133"/>
      <c r="MNG29" s="133"/>
      <c r="MNH29" s="133"/>
      <c r="MNI29" s="133"/>
      <c r="MNJ29" s="133"/>
      <c r="MNK29" s="133"/>
      <c r="MNL29" s="133"/>
      <c r="MNM29" s="133"/>
      <c r="MNN29" s="133"/>
      <c r="MNO29" s="133"/>
      <c r="MNP29" s="133"/>
      <c r="MNQ29" s="133"/>
      <c r="MNR29" s="133"/>
      <c r="MNS29" s="133"/>
      <c r="MNT29" s="133"/>
      <c r="MNU29" s="133"/>
      <c r="MNV29" s="133"/>
      <c r="MNW29" s="133"/>
      <c r="MNX29" s="133"/>
      <c r="MNY29" s="133"/>
      <c r="MNZ29" s="133"/>
      <c r="MOA29" s="133"/>
      <c r="MOB29" s="133"/>
      <c r="MOC29" s="133"/>
      <c r="MOD29" s="133"/>
      <c r="MOE29" s="133"/>
      <c r="MOF29" s="133"/>
      <c r="MOG29" s="133"/>
      <c r="MOH29" s="133"/>
      <c r="MOI29" s="133"/>
      <c r="MOJ29" s="133"/>
      <c r="MOK29" s="133"/>
      <c r="MOL29" s="133"/>
      <c r="MOM29" s="133"/>
      <c r="MON29" s="133"/>
      <c r="MOO29" s="133"/>
      <c r="MOP29" s="133"/>
      <c r="MOQ29" s="133"/>
      <c r="MOR29" s="133"/>
      <c r="MOS29" s="133"/>
      <c r="MOT29" s="133"/>
      <c r="MOU29" s="133"/>
      <c r="MOV29" s="133"/>
      <c r="MOW29" s="133"/>
      <c r="MOX29" s="133"/>
      <c r="MOY29" s="133"/>
      <c r="MOZ29" s="133"/>
      <c r="MPA29" s="133"/>
      <c r="MPB29" s="133"/>
      <c r="MPC29" s="133"/>
      <c r="MPD29" s="133"/>
      <c r="MPE29" s="133"/>
      <c r="MPF29" s="133"/>
      <c r="MPG29" s="133"/>
      <c r="MPH29" s="133"/>
      <c r="MPI29" s="133"/>
      <c r="MPJ29" s="133"/>
      <c r="MPK29" s="133"/>
      <c r="MPL29" s="133"/>
      <c r="MPM29" s="133"/>
      <c r="MPN29" s="133"/>
      <c r="MPO29" s="133"/>
      <c r="MPP29" s="133"/>
      <c r="MPQ29" s="133"/>
      <c r="MPR29" s="133"/>
      <c r="MPS29" s="133"/>
      <c r="MPT29" s="133"/>
      <c r="MPU29" s="133"/>
      <c r="MPV29" s="133"/>
      <c r="MPW29" s="133"/>
      <c r="MPX29" s="133"/>
      <c r="MPY29" s="133"/>
      <c r="MPZ29" s="133"/>
      <c r="MQA29" s="133"/>
      <c r="MQB29" s="133"/>
      <c r="MQC29" s="133"/>
      <c r="MQD29" s="133"/>
      <c r="MQE29" s="133"/>
      <c r="MQF29" s="133"/>
      <c r="MQG29" s="133"/>
      <c r="MQH29" s="133"/>
      <c r="MQI29" s="133"/>
      <c r="MQJ29" s="133"/>
      <c r="MQK29" s="133"/>
      <c r="MQL29" s="133"/>
      <c r="MQM29" s="133"/>
      <c r="MQN29" s="133"/>
      <c r="MQO29" s="133"/>
      <c r="MQP29" s="133"/>
      <c r="MQQ29" s="133"/>
      <c r="MQR29" s="133"/>
      <c r="MQS29" s="133"/>
      <c r="MQT29" s="133"/>
      <c r="MQU29" s="133"/>
      <c r="MQV29" s="133"/>
      <c r="MQW29" s="133"/>
      <c r="MQX29" s="133"/>
      <c r="MQY29" s="133"/>
      <c r="MQZ29" s="133"/>
      <c r="MRA29" s="133"/>
      <c r="MRB29" s="133"/>
      <c r="MRC29" s="133"/>
      <c r="MRD29" s="133"/>
      <c r="MRE29" s="133"/>
      <c r="MRF29" s="133"/>
      <c r="MRG29" s="133"/>
      <c r="MRH29" s="133"/>
      <c r="MRI29" s="133"/>
      <c r="MRJ29" s="133"/>
      <c r="MRK29" s="133"/>
      <c r="MRL29" s="133"/>
      <c r="MRM29" s="133"/>
      <c r="MRN29" s="133"/>
      <c r="MRO29" s="133"/>
      <c r="MRP29" s="133"/>
      <c r="MRQ29" s="133"/>
      <c r="MRR29" s="133"/>
      <c r="MRS29" s="133"/>
      <c r="MRT29" s="133"/>
      <c r="MRU29" s="133"/>
      <c r="MRV29" s="133"/>
      <c r="MRW29" s="133"/>
      <c r="MRX29" s="133"/>
      <c r="MRY29" s="133"/>
      <c r="MRZ29" s="133"/>
      <c r="MSA29" s="133"/>
      <c r="MSB29" s="133"/>
      <c r="MSC29" s="133"/>
      <c r="MSD29" s="133"/>
      <c r="MSE29" s="133"/>
      <c r="MSF29" s="133"/>
      <c r="MSG29" s="133"/>
      <c r="MSH29" s="133"/>
      <c r="MSI29" s="133"/>
      <c r="MSJ29" s="133"/>
      <c r="MSK29" s="133"/>
      <c r="MSL29" s="133"/>
      <c r="MSM29" s="133"/>
      <c r="MSN29" s="133"/>
      <c r="MSO29" s="133"/>
      <c r="MSP29" s="133"/>
      <c r="MSQ29" s="133"/>
      <c r="MSR29" s="133"/>
      <c r="MSS29" s="133"/>
      <c r="MST29" s="133"/>
      <c r="MSU29" s="133"/>
      <c r="MSV29" s="133"/>
      <c r="MSW29" s="133"/>
      <c r="MSX29" s="133"/>
      <c r="MSY29" s="133"/>
      <c r="MSZ29" s="133"/>
      <c r="MTA29" s="133"/>
      <c r="MTB29" s="133"/>
      <c r="MTC29" s="133"/>
      <c r="MTD29" s="133"/>
      <c r="MTE29" s="133"/>
      <c r="MTF29" s="133"/>
      <c r="MTG29" s="133"/>
      <c r="MTH29" s="133"/>
      <c r="MTI29" s="133"/>
      <c r="MTJ29" s="133"/>
      <c r="MTK29" s="133"/>
      <c r="MTL29" s="133"/>
      <c r="MTM29" s="133"/>
      <c r="MTN29" s="133"/>
      <c r="MTO29" s="133"/>
      <c r="MTP29" s="133"/>
      <c r="MTQ29" s="133"/>
      <c r="MTR29" s="133"/>
      <c r="MTS29" s="133"/>
      <c r="MTT29" s="133"/>
      <c r="MTU29" s="133"/>
      <c r="MTV29" s="133"/>
      <c r="MTW29" s="133"/>
      <c r="MTX29" s="133"/>
      <c r="MTY29" s="133"/>
      <c r="MTZ29" s="133"/>
      <c r="MUA29" s="133"/>
      <c r="MUB29" s="133"/>
      <c r="MUC29" s="133"/>
      <c r="MUD29" s="133"/>
      <c r="MUE29" s="133"/>
      <c r="MUF29" s="133"/>
      <c r="MUG29" s="133"/>
      <c r="MUH29" s="133"/>
      <c r="MUI29" s="133"/>
      <c r="MUJ29" s="133"/>
      <c r="MUK29" s="133"/>
      <c r="MUL29" s="133"/>
      <c r="MUM29" s="133"/>
      <c r="MUN29" s="133"/>
      <c r="MUO29" s="133"/>
      <c r="MUP29" s="133"/>
      <c r="MUQ29" s="133"/>
      <c r="MUR29" s="133"/>
      <c r="MUS29" s="133"/>
      <c r="MUT29" s="133"/>
      <c r="MUU29" s="133"/>
      <c r="MUV29" s="133"/>
      <c r="MUW29" s="133"/>
      <c r="MUX29" s="133"/>
      <c r="MUY29" s="133"/>
      <c r="MUZ29" s="133"/>
      <c r="MVA29" s="133"/>
      <c r="MVB29" s="133"/>
      <c r="MVC29" s="133"/>
      <c r="MVD29" s="133"/>
      <c r="MVE29" s="133"/>
      <c r="MVF29" s="133"/>
      <c r="MVG29" s="133"/>
      <c r="MVH29" s="133"/>
      <c r="MVI29" s="133"/>
      <c r="MVJ29" s="133"/>
      <c r="MVK29" s="133"/>
      <c r="MVL29" s="133"/>
      <c r="MVM29" s="133"/>
      <c r="MVN29" s="133"/>
      <c r="MVO29" s="133"/>
      <c r="MVP29" s="133"/>
      <c r="MVQ29" s="133"/>
      <c r="MVR29" s="133"/>
      <c r="MVS29" s="133"/>
      <c r="MVT29" s="133"/>
      <c r="MVU29" s="133"/>
      <c r="MVV29" s="133"/>
      <c r="MVW29" s="133"/>
      <c r="MVX29" s="133"/>
      <c r="MVY29" s="133"/>
      <c r="MVZ29" s="133"/>
      <c r="MWA29" s="133"/>
      <c r="MWB29" s="133"/>
      <c r="MWC29" s="133"/>
      <c r="MWD29" s="133"/>
      <c r="MWE29" s="133"/>
      <c r="MWF29" s="133"/>
      <c r="MWG29" s="133"/>
      <c r="MWH29" s="133"/>
      <c r="MWI29" s="133"/>
      <c r="MWJ29" s="133"/>
      <c r="MWK29" s="133"/>
      <c r="MWL29" s="133"/>
      <c r="MWM29" s="133"/>
      <c r="MWN29" s="133"/>
      <c r="MWO29" s="133"/>
      <c r="MWP29" s="133"/>
      <c r="MWQ29" s="133"/>
      <c r="MWR29" s="133"/>
      <c r="MWS29" s="133"/>
      <c r="MWT29" s="133"/>
      <c r="MWU29" s="133"/>
      <c r="MWV29" s="133"/>
      <c r="MWW29" s="133"/>
      <c r="MWX29" s="133"/>
      <c r="MWY29" s="133"/>
      <c r="MWZ29" s="133"/>
      <c r="MXA29" s="133"/>
      <c r="MXB29" s="133"/>
      <c r="MXC29" s="133"/>
      <c r="MXD29" s="133"/>
      <c r="MXE29" s="133"/>
      <c r="MXF29" s="133"/>
      <c r="MXG29" s="133"/>
      <c r="MXH29" s="133"/>
      <c r="MXI29" s="133"/>
      <c r="MXJ29" s="133"/>
      <c r="MXK29" s="133"/>
      <c r="MXL29" s="133"/>
      <c r="MXM29" s="133"/>
      <c r="MXN29" s="133"/>
      <c r="MXO29" s="133"/>
      <c r="MXP29" s="133"/>
      <c r="MXQ29" s="133"/>
      <c r="MXR29" s="133"/>
      <c r="MXS29" s="133"/>
      <c r="MXT29" s="133"/>
      <c r="MXU29" s="133"/>
      <c r="MXV29" s="133"/>
      <c r="MXW29" s="133"/>
      <c r="MXX29" s="133"/>
      <c r="MXY29" s="133"/>
      <c r="MXZ29" s="133"/>
      <c r="MYA29" s="133"/>
      <c r="MYB29" s="133"/>
      <c r="MYC29" s="133"/>
      <c r="MYD29" s="133"/>
      <c r="MYE29" s="133"/>
      <c r="MYF29" s="133"/>
      <c r="MYG29" s="133"/>
      <c r="MYH29" s="133"/>
      <c r="MYI29" s="133"/>
      <c r="MYJ29" s="133"/>
      <c r="MYK29" s="133"/>
      <c r="MYL29" s="133"/>
      <c r="MYM29" s="133"/>
      <c r="MYN29" s="133"/>
      <c r="MYO29" s="133"/>
      <c r="MYP29" s="133"/>
      <c r="MYQ29" s="133"/>
      <c r="MYR29" s="133"/>
      <c r="MYS29" s="133"/>
      <c r="MYT29" s="133"/>
      <c r="MYU29" s="133"/>
      <c r="MYV29" s="133"/>
      <c r="MYW29" s="133"/>
      <c r="MYX29" s="133"/>
      <c r="MYY29" s="133"/>
      <c r="MYZ29" s="133"/>
      <c r="MZA29" s="133"/>
      <c r="MZB29" s="133"/>
      <c r="MZC29" s="133"/>
      <c r="MZD29" s="133"/>
      <c r="MZE29" s="133"/>
      <c r="MZF29" s="133"/>
      <c r="MZG29" s="133"/>
      <c r="MZH29" s="133"/>
      <c r="MZI29" s="133"/>
      <c r="MZJ29" s="133"/>
      <c r="MZK29" s="133"/>
      <c r="MZL29" s="133"/>
      <c r="MZM29" s="133"/>
      <c r="MZN29" s="133"/>
      <c r="MZO29" s="133"/>
      <c r="MZP29" s="133"/>
      <c r="MZQ29" s="133"/>
      <c r="MZR29" s="133"/>
      <c r="MZS29" s="133"/>
      <c r="MZT29" s="133"/>
      <c r="MZU29" s="133"/>
      <c r="MZV29" s="133"/>
      <c r="MZW29" s="133"/>
      <c r="MZX29" s="133"/>
      <c r="MZY29" s="133"/>
      <c r="MZZ29" s="133"/>
      <c r="NAA29" s="133"/>
      <c r="NAB29" s="133"/>
      <c r="NAC29" s="133"/>
      <c r="NAD29" s="133"/>
      <c r="NAE29" s="133"/>
      <c r="NAF29" s="133"/>
      <c r="NAG29" s="133"/>
      <c r="NAH29" s="133"/>
      <c r="NAI29" s="133"/>
      <c r="NAJ29" s="133"/>
      <c r="NAK29" s="133"/>
      <c r="NAL29" s="133"/>
      <c r="NAM29" s="133"/>
      <c r="NAN29" s="133"/>
      <c r="NAO29" s="133"/>
      <c r="NAP29" s="133"/>
      <c r="NAQ29" s="133"/>
      <c r="NAR29" s="133"/>
      <c r="NAS29" s="133"/>
      <c r="NAT29" s="133"/>
      <c r="NAU29" s="133"/>
      <c r="NAV29" s="133"/>
      <c r="NAW29" s="133"/>
      <c r="NAX29" s="133"/>
      <c r="NAY29" s="133"/>
      <c r="NAZ29" s="133"/>
      <c r="NBA29" s="133"/>
      <c r="NBB29" s="133"/>
      <c r="NBC29" s="133"/>
      <c r="NBD29" s="133"/>
      <c r="NBE29" s="133"/>
      <c r="NBF29" s="133"/>
      <c r="NBG29" s="133"/>
      <c r="NBH29" s="133"/>
      <c r="NBI29" s="133"/>
      <c r="NBJ29" s="133"/>
      <c r="NBK29" s="133"/>
      <c r="NBL29" s="133"/>
      <c r="NBM29" s="133"/>
      <c r="NBN29" s="133"/>
      <c r="NBO29" s="133"/>
      <c r="NBP29" s="133"/>
      <c r="NBQ29" s="133"/>
      <c r="NBR29" s="133"/>
      <c r="NBS29" s="133"/>
      <c r="NBT29" s="133"/>
      <c r="NBU29" s="133"/>
      <c r="NBV29" s="133"/>
      <c r="NBW29" s="133"/>
      <c r="NBX29" s="133"/>
      <c r="NBY29" s="133"/>
      <c r="NBZ29" s="133"/>
      <c r="NCA29" s="133"/>
      <c r="NCB29" s="133"/>
      <c r="NCC29" s="133"/>
      <c r="NCD29" s="133"/>
      <c r="NCE29" s="133"/>
      <c r="NCF29" s="133"/>
      <c r="NCG29" s="133"/>
      <c r="NCH29" s="133"/>
      <c r="NCI29" s="133"/>
      <c r="NCJ29" s="133"/>
      <c r="NCK29" s="133"/>
      <c r="NCL29" s="133"/>
      <c r="NCM29" s="133"/>
      <c r="NCN29" s="133"/>
      <c r="NCO29" s="133"/>
      <c r="NCP29" s="133"/>
      <c r="NCQ29" s="133"/>
      <c r="NCR29" s="133"/>
      <c r="NCS29" s="133"/>
      <c r="NCT29" s="133"/>
      <c r="NCU29" s="133"/>
      <c r="NCV29" s="133"/>
      <c r="NCW29" s="133"/>
      <c r="NCX29" s="133"/>
      <c r="NCY29" s="133"/>
      <c r="NCZ29" s="133"/>
      <c r="NDA29" s="133"/>
      <c r="NDB29" s="133"/>
      <c r="NDC29" s="133"/>
      <c r="NDD29" s="133"/>
      <c r="NDE29" s="133"/>
      <c r="NDF29" s="133"/>
      <c r="NDG29" s="133"/>
      <c r="NDH29" s="133"/>
      <c r="NDI29" s="133"/>
      <c r="NDJ29" s="133"/>
      <c r="NDK29" s="133"/>
      <c r="NDL29" s="133"/>
      <c r="NDM29" s="133"/>
      <c r="NDN29" s="133"/>
      <c r="NDO29" s="133"/>
      <c r="NDP29" s="133"/>
      <c r="NDQ29" s="133"/>
      <c r="NDR29" s="133"/>
      <c r="NDS29" s="133"/>
      <c r="NDT29" s="133"/>
      <c r="NDU29" s="133"/>
      <c r="NDV29" s="133"/>
      <c r="NDW29" s="133"/>
      <c r="NDX29" s="133"/>
      <c r="NDY29" s="133"/>
      <c r="NDZ29" s="133"/>
      <c r="NEA29" s="133"/>
      <c r="NEB29" s="133"/>
      <c r="NEC29" s="133"/>
      <c r="NED29" s="133"/>
      <c r="NEE29" s="133"/>
      <c r="NEF29" s="133"/>
      <c r="NEG29" s="133"/>
      <c r="NEH29" s="133"/>
      <c r="NEI29" s="133"/>
      <c r="NEJ29" s="133"/>
      <c r="NEK29" s="133"/>
      <c r="NEL29" s="133"/>
      <c r="NEM29" s="133"/>
      <c r="NEN29" s="133"/>
      <c r="NEO29" s="133"/>
      <c r="NEP29" s="133"/>
      <c r="NEQ29" s="133"/>
      <c r="NER29" s="133"/>
      <c r="NES29" s="133"/>
      <c r="NET29" s="133"/>
      <c r="NEU29" s="133"/>
      <c r="NEV29" s="133"/>
      <c r="NEW29" s="133"/>
      <c r="NEX29" s="133"/>
      <c r="NEY29" s="133"/>
      <c r="NEZ29" s="133"/>
      <c r="NFA29" s="133"/>
      <c r="NFB29" s="133"/>
      <c r="NFC29" s="133"/>
      <c r="NFD29" s="133"/>
      <c r="NFE29" s="133"/>
      <c r="NFF29" s="133"/>
      <c r="NFG29" s="133"/>
      <c r="NFH29" s="133"/>
      <c r="NFI29" s="133"/>
      <c r="NFJ29" s="133"/>
      <c r="NFK29" s="133"/>
      <c r="NFL29" s="133"/>
      <c r="NFM29" s="133"/>
      <c r="NFN29" s="133"/>
      <c r="NFO29" s="133"/>
      <c r="NFP29" s="133"/>
      <c r="NFQ29" s="133"/>
      <c r="NFR29" s="133"/>
      <c r="NFS29" s="133"/>
      <c r="NFT29" s="133"/>
      <c r="NFU29" s="133"/>
      <c r="NFV29" s="133"/>
      <c r="NFW29" s="133"/>
      <c r="NFX29" s="133"/>
      <c r="NFY29" s="133"/>
      <c r="NFZ29" s="133"/>
      <c r="NGA29" s="133"/>
      <c r="NGB29" s="133"/>
      <c r="NGC29" s="133"/>
      <c r="NGD29" s="133"/>
      <c r="NGE29" s="133"/>
      <c r="NGF29" s="133"/>
      <c r="NGG29" s="133"/>
      <c r="NGH29" s="133"/>
      <c r="NGI29" s="133"/>
      <c r="NGJ29" s="133"/>
      <c r="NGK29" s="133"/>
      <c r="NGL29" s="133"/>
      <c r="NGM29" s="133"/>
      <c r="NGN29" s="133"/>
      <c r="NGO29" s="133"/>
      <c r="NGP29" s="133"/>
      <c r="NGQ29" s="133"/>
      <c r="NGR29" s="133"/>
      <c r="NGS29" s="133"/>
      <c r="NGT29" s="133"/>
      <c r="NGU29" s="133"/>
      <c r="NGV29" s="133"/>
      <c r="NGW29" s="133"/>
      <c r="NGX29" s="133"/>
      <c r="NGY29" s="133"/>
      <c r="NGZ29" s="133"/>
      <c r="NHA29" s="133"/>
      <c r="NHB29" s="133"/>
      <c r="NHC29" s="133"/>
      <c r="NHD29" s="133"/>
      <c r="NHE29" s="133"/>
      <c r="NHF29" s="133"/>
      <c r="NHG29" s="133"/>
      <c r="NHH29" s="133"/>
      <c r="NHI29" s="133"/>
      <c r="NHJ29" s="133"/>
      <c r="NHK29" s="133"/>
      <c r="NHL29" s="133"/>
      <c r="NHM29" s="133"/>
      <c r="NHN29" s="133"/>
      <c r="NHO29" s="133"/>
      <c r="NHP29" s="133"/>
      <c r="NHQ29" s="133"/>
      <c r="NHR29" s="133"/>
      <c r="NHS29" s="133"/>
      <c r="NHT29" s="133"/>
      <c r="NHU29" s="133"/>
      <c r="NHV29" s="133"/>
      <c r="NHW29" s="133"/>
      <c r="NHX29" s="133"/>
      <c r="NHY29" s="133"/>
      <c r="NHZ29" s="133"/>
      <c r="NIA29" s="133"/>
      <c r="NIB29" s="133"/>
      <c r="NIC29" s="133"/>
      <c r="NID29" s="133"/>
      <c r="NIE29" s="133"/>
      <c r="NIF29" s="133"/>
      <c r="NIG29" s="133"/>
      <c r="NIH29" s="133"/>
      <c r="NII29" s="133"/>
      <c r="NIJ29" s="133"/>
      <c r="NIK29" s="133"/>
      <c r="NIL29" s="133"/>
      <c r="NIM29" s="133"/>
      <c r="NIN29" s="133"/>
      <c r="NIO29" s="133"/>
      <c r="NIP29" s="133"/>
      <c r="NIQ29" s="133"/>
      <c r="NIR29" s="133"/>
      <c r="NIS29" s="133"/>
      <c r="NIT29" s="133"/>
      <c r="NIU29" s="133"/>
      <c r="NIV29" s="133"/>
      <c r="NIW29" s="133"/>
      <c r="NIX29" s="133"/>
      <c r="NIY29" s="133"/>
      <c r="NIZ29" s="133"/>
      <c r="NJA29" s="133"/>
      <c r="NJB29" s="133"/>
      <c r="NJC29" s="133"/>
      <c r="NJD29" s="133"/>
      <c r="NJE29" s="133"/>
      <c r="NJF29" s="133"/>
      <c r="NJG29" s="133"/>
      <c r="NJH29" s="133"/>
      <c r="NJI29" s="133"/>
      <c r="NJJ29" s="133"/>
      <c r="NJK29" s="133"/>
      <c r="NJL29" s="133"/>
      <c r="NJM29" s="133"/>
      <c r="NJN29" s="133"/>
      <c r="NJO29" s="133"/>
      <c r="NJP29" s="133"/>
      <c r="NJQ29" s="133"/>
      <c r="NJR29" s="133"/>
      <c r="NJS29" s="133"/>
      <c r="NJT29" s="133"/>
      <c r="NJU29" s="133"/>
      <c r="NJV29" s="133"/>
      <c r="NJW29" s="133"/>
      <c r="NJX29" s="133"/>
      <c r="NJY29" s="133"/>
      <c r="NJZ29" s="133"/>
      <c r="NKA29" s="133"/>
      <c r="NKB29" s="133"/>
      <c r="NKC29" s="133"/>
      <c r="NKD29" s="133"/>
      <c r="NKE29" s="133"/>
      <c r="NKF29" s="133"/>
      <c r="NKG29" s="133"/>
      <c r="NKH29" s="133"/>
      <c r="NKI29" s="133"/>
      <c r="NKJ29" s="133"/>
      <c r="NKK29" s="133"/>
      <c r="NKL29" s="133"/>
      <c r="NKM29" s="133"/>
      <c r="NKN29" s="133"/>
      <c r="NKO29" s="133"/>
      <c r="NKP29" s="133"/>
      <c r="NKQ29" s="133"/>
      <c r="NKR29" s="133"/>
      <c r="NKS29" s="133"/>
      <c r="NKT29" s="133"/>
      <c r="NKU29" s="133"/>
      <c r="NKV29" s="133"/>
      <c r="NKW29" s="133"/>
      <c r="NKX29" s="133"/>
      <c r="NKY29" s="133"/>
      <c r="NKZ29" s="133"/>
      <c r="NLA29" s="133"/>
      <c r="NLB29" s="133"/>
      <c r="NLC29" s="133"/>
      <c r="NLD29" s="133"/>
      <c r="NLE29" s="133"/>
      <c r="NLF29" s="133"/>
      <c r="NLG29" s="133"/>
      <c r="NLH29" s="133"/>
      <c r="NLI29" s="133"/>
      <c r="NLJ29" s="133"/>
      <c r="NLK29" s="133"/>
      <c r="NLL29" s="133"/>
      <c r="NLM29" s="133"/>
      <c r="NLN29" s="133"/>
      <c r="NLO29" s="133"/>
      <c r="NLP29" s="133"/>
      <c r="NLQ29" s="133"/>
      <c r="NLR29" s="133"/>
      <c r="NLS29" s="133"/>
      <c r="NLT29" s="133"/>
      <c r="NLU29" s="133"/>
      <c r="NLV29" s="133"/>
      <c r="NLW29" s="133"/>
      <c r="NLX29" s="133"/>
      <c r="NLY29" s="133"/>
      <c r="NLZ29" s="133"/>
      <c r="NMA29" s="133"/>
      <c r="NMB29" s="133"/>
      <c r="NMC29" s="133"/>
      <c r="NMD29" s="133"/>
      <c r="NME29" s="133"/>
      <c r="NMF29" s="133"/>
      <c r="NMG29" s="133"/>
      <c r="NMH29" s="133"/>
      <c r="NMI29" s="133"/>
      <c r="NMJ29" s="133"/>
      <c r="NMK29" s="133"/>
      <c r="NML29" s="133"/>
      <c r="NMM29" s="133"/>
      <c r="NMN29" s="133"/>
      <c r="NMO29" s="133"/>
      <c r="NMP29" s="133"/>
      <c r="NMQ29" s="133"/>
      <c r="NMR29" s="133"/>
      <c r="NMS29" s="133"/>
      <c r="NMT29" s="133"/>
      <c r="NMU29" s="133"/>
      <c r="NMV29" s="133"/>
      <c r="NMW29" s="133"/>
      <c r="NMX29" s="133"/>
      <c r="NMY29" s="133"/>
      <c r="NMZ29" s="133"/>
      <c r="NNA29" s="133"/>
      <c r="NNB29" s="133"/>
      <c r="NNC29" s="133"/>
      <c r="NND29" s="133"/>
      <c r="NNE29" s="133"/>
      <c r="NNF29" s="133"/>
      <c r="NNG29" s="133"/>
      <c r="NNH29" s="133"/>
      <c r="NNI29" s="133"/>
      <c r="NNJ29" s="133"/>
      <c r="NNK29" s="133"/>
      <c r="NNL29" s="133"/>
      <c r="NNM29" s="133"/>
      <c r="NNN29" s="133"/>
      <c r="NNO29" s="133"/>
      <c r="NNP29" s="133"/>
      <c r="NNQ29" s="133"/>
      <c r="NNR29" s="133"/>
      <c r="NNS29" s="133"/>
      <c r="NNT29" s="133"/>
      <c r="NNU29" s="133"/>
      <c r="NNV29" s="133"/>
      <c r="NNW29" s="133"/>
      <c r="NNX29" s="133"/>
      <c r="NNY29" s="133"/>
      <c r="NNZ29" s="133"/>
      <c r="NOA29" s="133"/>
      <c r="NOB29" s="133"/>
      <c r="NOC29" s="133"/>
      <c r="NOD29" s="133"/>
      <c r="NOE29" s="133"/>
      <c r="NOF29" s="133"/>
      <c r="NOG29" s="133"/>
      <c r="NOH29" s="133"/>
      <c r="NOI29" s="133"/>
      <c r="NOJ29" s="133"/>
      <c r="NOK29" s="133"/>
      <c r="NOL29" s="133"/>
      <c r="NOM29" s="133"/>
      <c r="NON29" s="133"/>
      <c r="NOO29" s="133"/>
      <c r="NOP29" s="133"/>
      <c r="NOQ29" s="133"/>
      <c r="NOR29" s="133"/>
      <c r="NOS29" s="133"/>
      <c r="NOT29" s="133"/>
      <c r="NOU29" s="133"/>
      <c r="NOV29" s="133"/>
      <c r="NOW29" s="133"/>
      <c r="NOX29" s="133"/>
      <c r="NOY29" s="133"/>
      <c r="NOZ29" s="133"/>
      <c r="NPA29" s="133"/>
      <c r="NPB29" s="133"/>
      <c r="NPC29" s="133"/>
      <c r="NPD29" s="133"/>
      <c r="NPE29" s="133"/>
      <c r="NPF29" s="133"/>
      <c r="NPG29" s="133"/>
      <c r="NPH29" s="133"/>
      <c r="NPI29" s="133"/>
      <c r="NPJ29" s="133"/>
      <c r="NPK29" s="133"/>
      <c r="NPL29" s="133"/>
      <c r="NPM29" s="133"/>
      <c r="NPN29" s="133"/>
      <c r="NPO29" s="133"/>
      <c r="NPP29" s="133"/>
      <c r="NPQ29" s="133"/>
      <c r="NPR29" s="133"/>
      <c r="NPS29" s="133"/>
      <c r="NPT29" s="133"/>
      <c r="NPU29" s="133"/>
      <c r="NPV29" s="133"/>
      <c r="NPW29" s="133"/>
      <c r="NPX29" s="133"/>
      <c r="NPY29" s="133"/>
      <c r="NPZ29" s="133"/>
      <c r="NQA29" s="133"/>
      <c r="NQB29" s="133"/>
      <c r="NQC29" s="133"/>
      <c r="NQD29" s="133"/>
      <c r="NQE29" s="133"/>
      <c r="NQF29" s="133"/>
      <c r="NQG29" s="133"/>
      <c r="NQH29" s="133"/>
      <c r="NQI29" s="133"/>
      <c r="NQJ29" s="133"/>
      <c r="NQK29" s="133"/>
      <c r="NQL29" s="133"/>
      <c r="NQM29" s="133"/>
      <c r="NQN29" s="133"/>
      <c r="NQO29" s="133"/>
      <c r="NQP29" s="133"/>
      <c r="NQQ29" s="133"/>
      <c r="NQR29" s="133"/>
      <c r="NQS29" s="133"/>
      <c r="NQT29" s="133"/>
      <c r="NQU29" s="133"/>
      <c r="NQV29" s="133"/>
      <c r="NQW29" s="133"/>
      <c r="NQX29" s="133"/>
      <c r="NQY29" s="133"/>
      <c r="NQZ29" s="133"/>
      <c r="NRA29" s="133"/>
      <c r="NRB29" s="133"/>
      <c r="NRC29" s="133"/>
      <c r="NRD29" s="133"/>
      <c r="NRE29" s="133"/>
      <c r="NRF29" s="133"/>
      <c r="NRG29" s="133"/>
      <c r="NRH29" s="133"/>
      <c r="NRI29" s="133"/>
      <c r="NRJ29" s="133"/>
      <c r="NRK29" s="133"/>
      <c r="NRL29" s="133"/>
      <c r="NRM29" s="133"/>
      <c r="NRN29" s="133"/>
      <c r="NRO29" s="133"/>
      <c r="NRP29" s="133"/>
      <c r="NRQ29" s="133"/>
      <c r="NRR29" s="133"/>
      <c r="NRS29" s="133"/>
      <c r="NRT29" s="133"/>
      <c r="NRU29" s="133"/>
      <c r="NRV29" s="133"/>
      <c r="NRW29" s="133"/>
      <c r="NRX29" s="133"/>
      <c r="NRY29" s="133"/>
      <c r="NRZ29" s="133"/>
      <c r="NSA29" s="133"/>
      <c r="NSB29" s="133"/>
      <c r="NSC29" s="133"/>
      <c r="NSD29" s="133"/>
      <c r="NSE29" s="133"/>
      <c r="NSF29" s="133"/>
      <c r="NSG29" s="133"/>
      <c r="NSH29" s="133"/>
      <c r="NSI29" s="133"/>
      <c r="NSJ29" s="133"/>
      <c r="NSK29" s="133"/>
      <c r="NSL29" s="133"/>
      <c r="NSM29" s="133"/>
      <c r="NSN29" s="133"/>
      <c r="NSO29" s="133"/>
      <c r="NSP29" s="133"/>
      <c r="NSQ29" s="133"/>
      <c r="NSR29" s="133"/>
      <c r="NSS29" s="133"/>
      <c r="NST29" s="133"/>
      <c r="NSU29" s="133"/>
      <c r="NSV29" s="133"/>
      <c r="NSW29" s="133"/>
      <c r="NSX29" s="133"/>
      <c r="NSY29" s="133"/>
      <c r="NSZ29" s="133"/>
      <c r="NTA29" s="133"/>
      <c r="NTB29" s="133"/>
      <c r="NTC29" s="133"/>
      <c r="NTD29" s="133"/>
      <c r="NTE29" s="133"/>
      <c r="NTF29" s="133"/>
      <c r="NTG29" s="133"/>
      <c r="NTH29" s="133"/>
      <c r="NTI29" s="133"/>
      <c r="NTJ29" s="133"/>
      <c r="NTK29" s="133"/>
      <c r="NTL29" s="133"/>
      <c r="NTM29" s="133"/>
      <c r="NTN29" s="133"/>
      <c r="NTO29" s="133"/>
      <c r="NTP29" s="133"/>
      <c r="NTQ29" s="133"/>
      <c r="NTR29" s="133"/>
      <c r="NTS29" s="133"/>
      <c r="NTT29" s="133"/>
      <c r="NTU29" s="133"/>
      <c r="NTV29" s="133"/>
      <c r="NTW29" s="133"/>
      <c r="NTX29" s="133"/>
      <c r="NTY29" s="133"/>
      <c r="NTZ29" s="133"/>
      <c r="NUA29" s="133"/>
      <c r="NUB29" s="133"/>
      <c r="NUC29" s="133"/>
      <c r="NUD29" s="133"/>
      <c r="NUE29" s="133"/>
      <c r="NUF29" s="133"/>
      <c r="NUG29" s="133"/>
      <c r="NUH29" s="133"/>
      <c r="NUI29" s="133"/>
      <c r="NUJ29" s="133"/>
      <c r="NUK29" s="133"/>
      <c r="NUL29" s="133"/>
      <c r="NUM29" s="133"/>
      <c r="NUN29" s="133"/>
      <c r="NUO29" s="133"/>
      <c r="NUP29" s="133"/>
      <c r="NUQ29" s="133"/>
      <c r="NUR29" s="133"/>
      <c r="NUS29" s="133"/>
      <c r="NUT29" s="133"/>
      <c r="NUU29" s="133"/>
      <c r="NUV29" s="133"/>
      <c r="NUW29" s="133"/>
      <c r="NUX29" s="133"/>
      <c r="NUY29" s="133"/>
      <c r="NUZ29" s="133"/>
      <c r="NVA29" s="133"/>
      <c r="NVB29" s="133"/>
      <c r="NVC29" s="133"/>
      <c r="NVD29" s="133"/>
      <c r="NVE29" s="133"/>
      <c r="NVF29" s="133"/>
      <c r="NVG29" s="133"/>
      <c r="NVH29" s="133"/>
      <c r="NVI29" s="133"/>
      <c r="NVJ29" s="133"/>
      <c r="NVK29" s="133"/>
      <c r="NVL29" s="133"/>
      <c r="NVM29" s="133"/>
      <c r="NVN29" s="133"/>
      <c r="NVO29" s="133"/>
      <c r="NVP29" s="133"/>
      <c r="NVQ29" s="133"/>
      <c r="NVR29" s="133"/>
      <c r="NVS29" s="133"/>
      <c r="NVT29" s="133"/>
      <c r="NVU29" s="133"/>
      <c r="NVV29" s="133"/>
      <c r="NVW29" s="133"/>
      <c r="NVX29" s="133"/>
      <c r="NVY29" s="133"/>
      <c r="NVZ29" s="133"/>
      <c r="NWA29" s="133"/>
      <c r="NWB29" s="133"/>
      <c r="NWC29" s="133"/>
      <c r="NWD29" s="133"/>
      <c r="NWE29" s="133"/>
      <c r="NWF29" s="133"/>
      <c r="NWG29" s="133"/>
      <c r="NWH29" s="133"/>
      <c r="NWI29" s="133"/>
      <c r="NWJ29" s="133"/>
      <c r="NWK29" s="133"/>
      <c r="NWL29" s="133"/>
      <c r="NWM29" s="133"/>
      <c r="NWN29" s="133"/>
      <c r="NWO29" s="133"/>
      <c r="NWP29" s="133"/>
      <c r="NWQ29" s="133"/>
      <c r="NWR29" s="133"/>
      <c r="NWS29" s="133"/>
      <c r="NWT29" s="133"/>
      <c r="NWU29" s="133"/>
      <c r="NWV29" s="133"/>
      <c r="NWW29" s="133"/>
      <c r="NWX29" s="133"/>
      <c r="NWY29" s="133"/>
      <c r="NWZ29" s="133"/>
      <c r="NXA29" s="133"/>
      <c r="NXB29" s="133"/>
      <c r="NXC29" s="133"/>
      <c r="NXD29" s="133"/>
      <c r="NXE29" s="133"/>
      <c r="NXF29" s="133"/>
      <c r="NXG29" s="133"/>
      <c r="NXH29" s="133"/>
      <c r="NXI29" s="133"/>
      <c r="NXJ29" s="133"/>
      <c r="NXK29" s="133"/>
      <c r="NXL29" s="133"/>
      <c r="NXM29" s="133"/>
      <c r="NXN29" s="133"/>
      <c r="NXO29" s="133"/>
      <c r="NXP29" s="133"/>
      <c r="NXQ29" s="133"/>
      <c r="NXR29" s="133"/>
      <c r="NXS29" s="133"/>
      <c r="NXT29" s="133"/>
      <c r="NXU29" s="133"/>
      <c r="NXV29" s="133"/>
      <c r="NXW29" s="133"/>
      <c r="NXX29" s="133"/>
      <c r="NXY29" s="133"/>
      <c r="NXZ29" s="133"/>
      <c r="NYA29" s="133"/>
      <c r="NYB29" s="133"/>
      <c r="NYC29" s="133"/>
      <c r="NYD29" s="133"/>
      <c r="NYE29" s="133"/>
      <c r="NYF29" s="133"/>
      <c r="NYG29" s="133"/>
      <c r="NYH29" s="133"/>
      <c r="NYI29" s="133"/>
      <c r="NYJ29" s="133"/>
      <c r="NYK29" s="133"/>
      <c r="NYL29" s="133"/>
      <c r="NYM29" s="133"/>
      <c r="NYN29" s="133"/>
      <c r="NYO29" s="133"/>
      <c r="NYP29" s="133"/>
      <c r="NYQ29" s="133"/>
      <c r="NYR29" s="133"/>
      <c r="NYS29" s="133"/>
      <c r="NYT29" s="133"/>
      <c r="NYU29" s="133"/>
      <c r="NYV29" s="133"/>
      <c r="NYW29" s="133"/>
      <c r="NYX29" s="133"/>
      <c r="NYY29" s="133"/>
      <c r="NYZ29" s="133"/>
      <c r="NZA29" s="133"/>
      <c r="NZB29" s="133"/>
      <c r="NZC29" s="133"/>
      <c r="NZD29" s="133"/>
      <c r="NZE29" s="133"/>
      <c r="NZF29" s="133"/>
      <c r="NZG29" s="133"/>
      <c r="NZH29" s="133"/>
      <c r="NZI29" s="133"/>
      <c r="NZJ29" s="133"/>
      <c r="NZK29" s="133"/>
      <c r="NZL29" s="133"/>
      <c r="NZM29" s="133"/>
      <c r="NZN29" s="133"/>
      <c r="NZO29" s="133"/>
      <c r="NZP29" s="133"/>
      <c r="NZQ29" s="133"/>
      <c r="NZR29" s="133"/>
      <c r="NZS29" s="133"/>
      <c r="NZT29" s="133"/>
      <c r="NZU29" s="133"/>
      <c r="NZV29" s="133"/>
      <c r="NZW29" s="133"/>
      <c r="NZX29" s="133"/>
      <c r="NZY29" s="133"/>
      <c r="NZZ29" s="133"/>
      <c r="OAA29" s="133"/>
      <c r="OAB29" s="133"/>
      <c r="OAC29" s="133"/>
      <c r="OAD29" s="133"/>
      <c r="OAE29" s="133"/>
      <c r="OAF29" s="133"/>
      <c r="OAG29" s="133"/>
      <c r="OAH29" s="133"/>
      <c r="OAI29" s="133"/>
      <c r="OAJ29" s="133"/>
      <c r="OAK29" s="133"/>
      <c r="OAL29" s="133"/>
      <c r="OAM29" s="133"/>
      <c r="OAN29" s="133"/>
      <c r="OAO29" s="133"/>
      <c r="OAP29" s="133"/>
      <c r="OAQ29" s="133"/>
      <c r="OAR29" s="133"/>
      <c r="OAS29" s="133"/>
      <c r="OAT29" s="133"/>
      <c r="OAU29" s="133"/>
      <c r="OAV29" s="133"/>
      <c r="OAW29" s="133"/>
      <c r="OAX29" s="133"/>
      <c r="OAY29" s="133"/>
      <c r="OAZ29" s="133"/>
      <c r="OBA29" s="133"/>
      <c r="OBB29" s="133"/>
      <c r="OBC29" s="133"/>
      <c r="OBD29" s="133"/>
      <c r="OBE29" s="133"/>
      <c r="OBF29" s="133"/>
      <c r="OBG29" s="133"/>
      <c r="OBH29" s="133"/>
      <c r="OBI29" s="133"/>
      <c r="OBJ29" s="133"/>
      <c r="OBK29" s="133"/>
      <c r="OBL29" s="133"/>
      <c r="OBM29" s="133"/>
      <c r="OBN29" s="133"/>
      <c r="OBO29" s="133"/>
      <c r="OBP29" s="133"/>
      <c r="OBQ29" s="133"/>
      <c r="OBR29" s="133"/>
      <c r="OBS29" s="133"/>
      <c r="OBT29" s="133"/>
      <c r="OBU29" s="133"/>
      <c r="OBV29" s="133"/>
      <c r="OBW29" s="133"/>
      <c r="OBX29" s="133"/>
      <c r="OBY29" s="133"/>
      <c r="OBZ29" s="133"/>
      <c r="OCA29" s="133"/>
      <c r="OCB29" s="133"/>
      <c r="OCC29" s="133"/>
      <c r="OCD29" s="133"/>
      <c r="OCE29" s="133"/>
      <c r="OCF29" s="133"/>
      <c r="OCG29" s="133"/>
      <c r="OCH29" s="133"/>
      <c r="OCI29" s="133"/>
      <c r="OCJ29" s="133"/>
      <c r="OCK29" s="133"/>
      <c r="OCL29" s="133"/>
      <c r="OCM29" s="133"/>
      <c r="OCN29" s="133"/>
      <c r="OCO29" s="133"/>
      <c r="OCP29" s="133"/>
      <c r="OCQ29" s="133"/>
      <c r="OCR29" s="133"/>
      <c r="OCS29" s="133"/>
      <c r="OCT29" s="133"/>
      <c r="OCU29" s="133"/>
      <c r="OCV29" s="133"/>
      <c r="OCW29" s="133"/>
      <c r="OCX29" s="133"/>
      <c r="OCY29" s="133"/>
      <c r="OCZ29" s="133"/>
      <c r="ODA29" s="133"/>
      <c r="ODB29" s="133"/>
      <c r="ODC29" s="133"/>
      <c r="ODD29" s="133"/>
      <c r="ODE29" s="133"/>
      <c r="ODF29" s="133"/>
      <c r="ODG29" s="133"/>
      <c r="ODH29" s="133"/>
      <c r="ODI29" s="133"/>
      <c r="ODJ29" s="133"/>
      <c r="ODK29" s="133"/>
      <c r="ODL29" s="133"/>
      <c r="ODM29" s="133"/>
      <c r="ODN29" s="133"/>
      <c r="ODO29" s="133"/>
      <c r="ODP29" s="133"/>
      <c r="ODQ29" s="133"/>
      <c r="ODR29" s="133"/>
      <c r="ODS29" s="133"/>
      <c r="ODT29" s="133"/>
      <c r="ODU29" s="133"/>
      <c r="ODV29" s="133"/>
      <c r="ODW29" s="133"/>
      <c r="ODX29" s="133"/>
      <c r="ODY29" s="133"/>
      <c r="ODZ29" s="133"/>
      <c r="OEA29" s="133"/>
      <c r="OEB29" s="133"/>
      <c r="OEC29" s="133"/>
      <c r="OED29" s="133"/>
      <c r="OEE29" s="133"/>
      <c r="OEF29" s="133"/>
      <c r="OEG29" s="133"/>
      <c r="OEH29" s="133"/>
      <c r="OEI29" s="133"/>
      <c r="OEJ29" s="133"/>
      <c r="OEK29" s="133"/>
      <c r="OEL29" s="133"/>
      <c r="OEM29" s="133"/>
      <c r="OEN29" s="133"/>
      <c r="OEO29" s="133"/>
      <c r="OEP29" s="133"/>
      <c r="OEQ29" s="133"/>
      <c r="OER29" s="133"/>
      <c r="OES29" s="133"/>
      <c r="OET29" s="133"/>
      <c r="OEU29" s="133"/>
      <c r="OEV29" s="133"/>
      <c r="OEW29" s="133"/>
      <c r="OEX29" s="133"/>
      <c r="OEY29" s="133"/>
      <c r="OEZ29" s="133"/>
      <c r="OFA29" s="133"/>
      <c r="OFB29" s="133"/>
      <c r="OFC29" s="133"/>
      <c r="OFD29" s="133"/>
      <c r="OFE29" s="133"/>
      <c r="OFF29" s="133"/>
      <c r="OFG29" s="133"/>
      <c r="OFH29" s="133"/>
      <c r="OFI29" s="133"/>
      <c r="OFJ29" s="133"/>
      <c r="OFK29" s="133"/>
      <c r="OFL29" s="133"/>
      <c r="OFM29" s="133"/>
      <c r="OFN29" s="133"/>
      <c r="OFO29" s="133"/>
      <c r="OFP29" s="133"/>
      <c r="OFQ29" s="133"/>
      <c r="OFR29" s="133"/>
      <c r="OFS29" s="133"/>
      <c r="OFT29" s="133"/>
      <c r="OFU29" s="133"/>
      <c r="OFV29" s="133"/>
      <c r="OFW29" s="133"/>
      <c r="OFX29" s="133"/>
      <c r="OFY29" s="133"/>
      <c r="OFZ29" s="133"/>
      <c r="OGA29" s="133"/>
      <c r="OGB29" s="133"/>
      <c r="OGC29" s="133"/>
      <c r="OGD29" s="133"/>
      <c r="OGE29" s="133"/>
      <c r="OGF29" s="133"/>
      <c r="OGG29" s="133"/>
      <c r="OGH29" s="133"/>
      <c r="OGI29" s="133"/>
      <c r="OGJ29" s="133"/>
      <c r="OGK29" s="133"/>
      <c r="OGL29" s="133"/>
      <c r="OGM29" s="133"/>
      <c r="OGN29" s="133"/>
      <c r="OGO29" s="133"/>
      <c r="OGP29" s="133"/>
      <c r="OGQ29" s="133"/>
      <c r="OGR29" s="133"/>
      <c r="OGS29" s="133"/>
      <c r="OGT29" s="133"/>
      <c r="OGU29" s="133"/>
      <c r="OGV29" s="133"/>
      <c r="OGW29" s="133"/>
      <c r="OGX29" s="133"/>
      <c r="OGY29" s="133"/>
      <c r="OGZ29" s="133"/>
      <c r="OHA29" s="133"/>
      <c r="OHB29" s="133"/>
      <c r="OHC29" s="133"/>
      <c r="OHD29" s="133"/>
      <c r="OHE29" s="133"/>
      <c r="OHF29" s="133"/>
      <c r="OHG29" s="133"/>
      <c r="OHH29" s="133"/>
      <c r="OHI29" s="133"/>
      <c r="OHJ29" s="133"/>
      <c r="OHK29" s="133"/>
      <c r="OHL29" s="133"/>
      <c r="OHM29" s="133"/>
      <c r="OHN29" s="133"/>
      <c r="OHO29" s="133"/>
      <c r="OHP29" s="133"/>
      <c r="OHQ29" s="133"/>
      <c r="OHR29" s="133"/>
      <c r="OHS29" s="133"/>
      <c r="OHT29" s="133"/>
      <c r="OHU29" s="133"/>
      <c r="OHV29" s="133"/>
      <c r="OHW29" s="133"/>
      <c r="OHX29" s="133"/>
      <c r="OHY29" s="133"/>
      <c r="OHZ29" s="133"/>
      <c r="OIA29" s="133"/>
      <c r="OIB29" s="133"/>
      <c r="OIC29" s="133"/>
      <c r="OID29" s="133"/>
      <c r="OIE29" s="133"/>
      <c r="OIF29" s="133"/>
      <c r="OIG29" s="133"/>
      <c r="OIH29" s="133"/>
      <c r="OII29" s="133"/>
      <c r="OIJ29" s="133"/>
      <c r="OIK29" s="133"/>
      <c r="OIL29" s="133"/>
      <c r="OIM29" s="133"/>
      <c r="OIN29" s="133"/>
      <c r="OIO29" s="133"/>
      <c r="OIP29" s="133"/>
      <c r="OIQ29" s="133"/>
      <c r="OIR29" s="133"/>
      <c r="OIS29" s="133"/>
      <c r="OIT29" s="133"/>
      <c r="OIU29" s="133"/>
      <c r="OIV29" s="133"/>
      <c r="OIW29" s="133"/>
      <c r="OIX29" s="133"/>
      <c r="OIY29" s="133"/>
      <c r="OIZ29" s="133"/>
      <c r="OJA29" s="133"/>
      <c r="OJB29" s="133"/>
      <c r="OJC29" s="133"/>
      <c r="OJD29" s="133"/>
      <c r="OJE29" s="133"/>
      <c r="OJF29" s="133"/>
      <c r="OJG29" s="133"/>
      <c r="OJH29" s="133"/>
      <c r="OJI29" s="133"/>
      <c r="OJJ29" s="133"/>
      <c r="OJK29" s="133"/>
      <c r="OJL29" s="133"/>
      <c r="OJM29" s="133"/>
      <c r="OJN29" s="133"/>
      <c r="OJO29" s="133"/>
      <c r="OJP29" s="133"/>
      <c r="OJQ29" s="133"/>
      <c r="OJR29" s="133"/>
      <c r="OJS29" s="133"/>
      <c r="OJT29" s="133"/>
      <c r="OJU29" s="133"/>
      <c r="OJV29" s="133"/>
      <c r="OJW29" s="133"/>
      <c r="OJX29" s="133"/>
      <c r="OJY29" s="133"/>
      <c r="OJZ29" s="133"/>
      <c r="OKA29" s="133"/>
      <c r="OKB29" s="133"/>
      <c r="OKC29" s="133"/>
      <c r="OKD29" s="133"/>
      <c r="OKE29" s="133"/>
      <c r="OKF29" s="133"/>
      <c r="OKG29" s="133"/>
      <c r="OKH29" s="133"/>
      <c r="OKI29" s="133"/>
      <c r="OKJ29" s="133"/>
      <c r="OKK29" s="133"/>
      <c r="OKL29" s="133"/>
      <c r="OKM29" s="133"/>
      <c r="OKN29" s="133"/>
      <c r="OKO29" s="133"/>
      <c r="OKP29" s="133"/>
      <c r="OKQ29" s="133"/>
      <c r="OKR29" s="133"/>
      <c r="OKS29" s="133"/>
      <c r="OKT29" s="133"/>
      <c r="OKU29" s="133"/>
      <c r="OKV29" s="133"/>
      <c r="OKW29" s="133"/>
      <c r="OKX29" s="133"/>
      <c r="OKY29" s="133"/>
      <c r="OKZ29" s="133"/>
      <c r="OLA29" s="133"/>
      <c r="OLB29" s="133"/>
      <c r="OLC29" s="133"/>
      <c r="OLD29" s="133"/>
      <c r="OLE29" s="133"/>
      <c r="OLF29" s="133"/>
      <c r="OLG29" s="133"/>
      <c r="OLH29" s="133"/>
      <c r="OLI29" s="133"/>
      <c r="OLJ29" s="133"/>
      <c r="OLK29" s="133"/>
      <c r="OLL29" s="133"/>
      <c r="OLM29" s="133"/>
      <c r="OLN29" s="133"/>
      <c r="OLO29" s="133"/>
      <c r="OLP29" s="133"/>
      <c r="OLQ29" s="133"/>
      <c r="OLR29" s="133"/>
      <c r="OLS29" s="133"/>
      <c r="OLT29" s="133"/>
      <c r="OLU29" s="133"/>
      <c r="OLV29" s="133"/>
      <c r="OLW29" s="133"/>
      <c r="OLX29" s="133"/>
      <c r="OLY29" s="133"/>
      <c r="OLZ29" s="133"/>
      <c r="OMA29" s="133"/>
      <c r="OMB29" s="133"/>
      <c r="OMC29" s="133"/>
      <c r="OMD29" s="133"/>
      <c r="OME29" s="133"/>
      <c r="OMF29" s="133"/>
      <c r="OMG29" s="133"/>
      <c r="OMH29" s="133"/>
      <c r="OMI29" s="133"/>
      <c r="OMJ29" s="133"/>
      <c r="OMK29" s="133"/>
      <c r="OML29" s="133"/>
      <c r="OMM29" s="133"/>
      <c r="OMN29" s="133"/>
      <c r="OMO29" s="133"/>
      <c r="OMP29" s="133"/>
      <c r="OMQ29" s="133"/>
      <c r="OMR29" s="133"/>
      <c r="OMS29" s="133"/>
      <c r="OMT29" s="133"/>
      <c r="OMU29" s="133"/>
      <c r="OMV29" s="133"/>
      <c r="OMW29" s="133"/>
      <c r="OMX29" s="133"/>
      <c r="OMY29" s="133"/>
      <c r="OMZ29" s="133"/>
      <c r="ONA29" s="133"/>
      <c r="ONB29" s="133"/>
      <c r="ONC29" s="133"/>
      <c r="OND29" s="133"/>
      <c r="ONE29" s="133"/>
      <c r="ONF29" s="133"/>
      <c r="ONG29" s="133"/>
      <c r="ONH29" s="133"/>
      <c r="ONI29" s="133"/>
      <c r="ONJ29" s="133"/>
      <c r="ONK29" s="133"/>
      <c r="ONL29" s="133"/>
      <c r="ONM29" s="133"/>
      <c r="ONN29" s="133"/>
      <c r="ONO29" s="133"/>
      <c r="ONP29" s="133"/>
      <c r="ONQ29" s="133"/>
      <c r="ONR29" s="133"/>
      <c r="ONS29" s="133"/>
      <c r="ONT29" s="133"/>
      <c r="ONU29" s="133"/>
      <c r="ONV29" s="133"/>
      <c r="ONW29" s="133"/>
      <c r="ONX29" s="133"/>
      <c r="ONY29" s="133"/>
      <c r="ONZ29" s="133"/>
      <c r="OOA29" s="133"/>
      <c r="OOB29" s="133"/>
      <c r="OOC29" s="133"/>
      <c r="OOD29" s="133"/>
      <c r="OOE29" s="133"/>
      <c r="OOF29" s="133"/>
      <c r="OOG29" s="133"/>
      <c r="OOH29" s="133"/>
      <c r="OOI29" s="133"/>
      <c r="OOJ29" s="133"/>
      <c r="OOK29" s="133"/>
      <c r="OOL29" s="133"/>
      <c r="OOM29" s="133"/>
      <c r="OON29" s="133"/>
      <c r="OOO29" s="133"/>
      <c r="OOP29" s="133"/>
      <c r="OOQ29" s="133"/>
      <c r="OOR29" s="133"/>
      <c r="OOS29" s="133"/>
      <c r="OOT29" s="133"/>
      <c r="OOU29" s="133"/>
      <c r="OOV29" s="133"/>
      <c r="OOW29" s="133"/>
      <c r="OOX29" s="133"/>
      <c r="OOY29" s="133"/>
      <c r="OOZ29" s="133"/>
      <c r="OPA29" s="133"/>
      <c r="OPB29" s="133"/>
      <c r="OPC29" s="133"/>
      <c r="OPD29" s="133"/>
      <c r="OPE29" s="133"/>
      <c r="OPF29" s="133"/>
      <c r="OPG29" s="133"/>
      <c r="OPH29" s="133"/>
      <c r="OPI29" s="133"/>
      <c r="OPJ29" s="133"/>
      <c r="OPK29" s="133"/>
      <c r="OPL29" s="133"/>
      <c r="OPM29" s="133"/>
      <c r="OPN29" s="133"/>
      <c r="OPO29" s="133"/>
      <c r="OPP29" s="133"/>
      <c r="OPQ29" s="133"/>
      <c r="OPR29" s="133"/>
      <c r="OPS29" s="133"/>
      <c r="OPT29" s="133"/>
      <c r="OPU29" s="133"/>
      <c r="OPV29" s="133"/>
      <c r="OPW29" s="133"/>
      <c r="OPX29" s="133"/>
      <c r="OPY29" s="133"/>
      <c r="OPZ29" s="133"/>
      <c r="OQA29" s="133"/>
      <c r="OQB29" s="133"/>
      <c r="OQC29" s="133"/>
      <c r="OQD29" s="133"/>
      <c r="OQE29" s="133"/>
      <c r="OQF29" s="133"/>
      <c r="OQG29" s="133"/>
      <c r="OQH29" s="133"/>
      <c r="OQI29" s="133"/>
      <c r="OQJ29" s="133"/>
      <c r="OQK29" s="133"/>
      <c r="OQL29" s="133"/>
      <c r="OQM29" s="133"/>
      <c r="OQN29" s="133"/>
      <c r="OQO29" s="133"/>
      <c r="OQP29" s="133"/>
      <c r="OQQ29" s="133"/>
      <c r="OQR29" s="133"/>
      <c r="OQS29" s="133"/>
      <c r="OQT29" s="133"/>
      <c r="OQU29" s="133"/>
      <c r="OQV29" s="133"/>
      <c r="OQW29" s="133"/>
      <c r="OQX29" s="133"/>
      <c r="OQY29" s="133"/>
      <c r="OQZ29" s="133"/>
      <c r="ORA29" s="133"/>
      <c r="ORB29" s="133"/>
      <c r="ORC29" s="133"/>
      <c r="ORD29" s="133"/>
      <c r="ORE29" s="133"/>
      <c r="ORF29" s="133"/>
      <c r="ORG29" s="133"/>
      <c r="ORH29" s="133"/>
      <c r="ORI29" s="133"/>
      <c r="ORJ29" s="133"/>
      <c r="ORK29" s="133"/>
      <c r="ORL29" s="133"/>
      <c r="ORM29" s="133"/>
      <c r="ORN29" s="133"/>
      <c r="ORO29" s="133"/>
      <c r="ORP29" s="133"/>
      <c r="ORQ29" s="133"/>
      <c r="ORR29" s="133"/>
      <c r="ORS29" s="133"/>
      <c r="ORT29" s="133"/>
      <c r="ORU29" s="133"/>
      <c r="ORV29" s="133"/>
      <c r="ORW29" s="133"/>
      <c r="ORX29" s="133"/>
      <c r="ORY29" s="133"/>
      <c r="ORZ29" s="133"/>
      <c r="OSA29" s="133"/>
      <c r="OSB29" s="133"/>
      <c r="OSC29" s="133"/>
      <c r="OSD29" s="133"/>
      <c r="OSE29" s="133"/>
      <c r="OSF29" s="133"/>
      <c r="OSG29" s="133"/>
      <c r="OSH29" s="133"/>
      <c r="OSI29" s="133"/>
      <c r="OSJ29" s="133"/>
      <c r="OSK29" s="133"/>
      <c r="OSL29" s="133"/>
      <c r="OSM29" s="133"/>
      <c r="OSN29" s="133"/>
      <c r="OSO29" s="133"/>
      <c r="OSP29" s="133"/>
      <c r="OSQ29" s="133"/>
      <c r="OSR29" s="133"/>
      <c r="OSS29" s="133"/>
      <c r="OST29" s="133"/>
      <c r="OSU29" s="133"/>
      <c r="OSV29" s="133"/>
      <c r="OSW29" s="133"/>
      <c r="OSX29" s="133"/>
      <c r="OSY29" s="133"/>
      <c r="OSZ29" s="133"/>
      <c r="OTA29" s="133"/>
      <c r="OTB29" s="133"/>
      <c r="OTC29" s="133"/>
      <c r="OTD29" s="133"/>
      <c r="OTE29" s="133"/>
      <c r="OTF29" s="133"/>
      <c r="OTG29" s="133"/>
      <c r="OTH29" s="133"/>
      <c r="OTI29" s="133"/>
      <c r="OTJ29" s="133"/>
      <c r="OTK29" s="133"/>
      <c r="OTL29" s="133"/>
      <c r="OTM29" s="133"/>
      <c r="OTN29" s="133"/>
      <c r="OTO29" s="133"/>
      <c r="OTP29" s="133"/>
      <c r="OTQ29" s="133"/>
      <c r="OTR29" s="133"/>
      <c r="OTS29" s="133"/>
      <c r="OTT29" s="133"/>
      <c r="OTU29" s="133"/>
      <c r="OTV29" s="133"/>
      <c r="OTW29" s="133"/>
      <c r="OTX29" s="133"/>
      <c r="OTY29" s="133"/>
      <c r="OTZ29" s="133"/>
      <c r="OUA29" s="133"/>
      <c r="OUB29" s="133"/>
      <c r="OUC29" s="133"/>
      <c r="OUD29" s="133"/>
      <c r="OUE29" s="133"/>
      <c r="OUF29" s="133"/>
      <c r="OUG29" s="133"/>
      <c r="OUH29" s="133"/>
      <c r="OUI29" s="133"/>
      <c r="OUJ29" s="133"/>
      <c r="OUK29" s="133"/>
      <c r="OUL29" s="133"/>
      <c r="OUM29" s="133"/>
      <c r="OUN29" s="133"/>
      <c r="OUO29" s="133"/>
      <c r="OUP29" s="133"/>
      <c r="OUQ29" s="133"/>
      <c r="OUR29" s="133"/>
      <c r="OUS29" s="133"/>
      <c r="OUT29" s="133"/>
      <c r="OUU29" s="133"/>
      <c r="OUV29" s="133"/>
      <c r="OUW29" s="133"/>
      <c r="OUX29" s="133"/>
      <c r="OUY29" s="133"/>
      <c r="OUZ29" s="133"/>
      <c r="OVA29" s="133"/>
      <c r="OVB29" s="133"/>
      <c r="OVC29" s="133"/>
      <c r="OVD29" s="133"/>
      <c r="OVE29" s="133"/>
      <c r="OVF29" s="133"/>
      <c r="OVG29" s="133"/>
      <c r="OVH29" s="133"/>
      <c r="OVI29" s="133"/>
      <c r="OVJ29" s="133"/>
      <c r="OVK29" s="133"/>
      <c r="OVL29" s="133"/>
      <c r="OVM29" s="133"/>
      <c r="OVN29" s="133"/>
      <c r="OVO29" s="133"/>
      <c r="OVP29" s="133"/>
      <c r="OVQ29" s="133"/>
      <c r="OVR29" s="133"/>
      <c r="OVS29" s="133"/>
      <c r="OVT29" s="133"/>
      <c r="OVU29" s="133"/>
      <c r="OVV29" s="133"/>
      <c r="OVW29" s="133"/>
      <c r="OVX29" s="133"/>
      <c r="OVY29" s="133"/>
      <c r="OVZ29" s="133"/>
      <c r="OWA29" s="133"/>
      <c r="OWB29" s="133"/>
      <c r="OWC29" s="133"/>
      <c r="OWD29" s="133"/>
      <c r="OWE29" s="133"/>
      <c r="OWF29" s="133"/>
      <c r="OWG29" s="133"/>
      <c r="OWH29" s="133"/>
      <c r="OWI29" s="133"/>
      <c r="OWJ29" s="133"/>
      <c r="OWK29" s="133"/>
      <c r="OWL29" s="133"/>
      <c r="OWM29" s="133"/>
      <c r="OWN29" s="133"/>
      <c r="OWO29" s="133"/>
      <c r="OWP29" s="133"/>
      <c r="OWQ29" s="133"/>
      <c r="OWR29" s="133"/>
      <c r="OWS29" s="133"/>
      <c r="OWT29" s="133"/>
      <c r="OWU29" s="133"/>
      <c r="OWV29" s="133"/>
      <c r="OWW29" s="133"/>
      <c r="OWX29" s="133"/>
      <c r="OWY29" s="133"/>
      <c r="OWZ29" s="133"/>
      <c r="OXA29" s="133"/>
      <c r="OXB29" s="133"/>
      <c r="OXC29" s="133"/>
      <c r="OXD29" s="133"/>
      <c r="OXE29" s="133"/>
      <c r="OXF29" s="133"/>
      <c r="OXG29" s="133"/>
      <c r="OXH29" s="133"/>
      <c r="OXI29" s="133"/>
      <c r="OXJ29" s="133"/>
      <c r="OXK29" s="133"/>
      <c r="OXL29" s="133"/>
      <c r="OXM29" s="133"/>
      <c r="OXN29" s="133"/>
      <c r="OXO29" s="133"/>
      <c r="OXP29" s="133"/>
      <c r="OXQ29" s="133"/>
      <c r="OXR29" s="133"/>
      <c r="OXS29" s="133"/>
      <c r="OXT29" s="133"/>
      <c r="OXU29" s="133"/>
      <c r="OXV29" s="133"/>
      <c r="OXW29" s="133"/>
      <c r="OXX29" s="133"/>
      <c r="OXY29" s="133"/>
      <c r="OXZ29" s="133"/>
      <c r="OYA29" s="133"/>
      <c r="OYB29" s="133"/>
      <c r="OYC29" s="133"/>
      <c r="OYD29" s="133"/>
      <c r="OYE29" s="133"/>
      <c r="OYF29" s="133"/>
      <c r="OYG29" s="133"/>
      <c r="OYH29" s="133"/>
      <c r="OYI29" s="133"/>
      <c r="OYJ29" s="133"/>
      <c r="OYK29" s="133"/>
      <c r="OYL29" s="133"/>
      <c r="OYM29" s="133"/>
      <c r="OYN29" s="133"/>
      <c r="OYO29" s="133"/>
      <c r="OYP29" s="133"/>
      <c r="OYQ29" s="133"/>
      <c r="OYR29" s="133"/>
      <c r="OYS29" s="133"/>
      <c r="OYT29" s="133"/>
      <c r="OYU29" s="133"/>
      <c r="OYV29" s="133"/>
      <c r="OYW29" s="133"/>
      <c r="OYX29" s="133"/>
      <c r="OYY29" s="133"/>
      <c r="OYZ29" s="133"/>
      <c r="OZA29" s="133"/>
      <c r="OZB29" s="133"/>
      <c r="OZC29" s="133"/>
      <c r="OZD29" s="133"/>
      <c r="OZE29" s="133"/>
      <c r="OZF29" s="133"/>
      <c r="OZG29" s="133"/>
      <c r="OZH29" s="133"/>
      <c r="OZI29" s="133"/>
      <c r="OZJ29" s="133"/>
      <c r="OZK29" s="133"/>
      <c r="OZL29" s="133"/>
      <c r="OZM29" s="133"/>
      <c r="OZN29" s="133"/>
      <c r="OZO29" s="133"/>
      <c r="OZP29" s="133"/>
      <c r="OZQ29" s="133"/>
      <c r="OZR29" s="133"/>
      <c r="OZS29" s="133"/>
      <c r="OZT29" s="133"/>
      <c r="OZU29" s="133"/>
      <c r="OZV29" s="133"/>
      <c r="OZW29" s="133"/>
      <c r="OZX29" s="133"/>
      <c r="OZY29" s="133"/>
      <c r="OZZ29" s="133"/>
      <c r="PAA29" s="133"/>
      <c r="PAB29" s="133"/>
      <c r="PAC29" s="133"/>
      <c r="PAD29" s="133"/>
      <c r="PAE29" s="133"/>
      <c r="PAF29" s="133"/>
      <c r="PAG29" s="133"/>
      <c r="PAH29" s="133"/>
      <c r="PAI29" s="133"/>
      <c r="PAJ29" s="133"/>
      <c r="PAK29" s="133"/>
      <c r="PAL29" s="133"/>
      <c r="PAM29" s="133"/>
      <c r="PAN29" s="133"/>
      <c r="PAO29" s="133"/>
      <c r="PAP29" s="133"/>
      <c r="PAQ29" s="133"/>
      <c r="PAR29" s="133"/>
      <c r="PAS29" s="133"/>
      <c r="PAT29" s="133"/>
      <c r="PAU29" s="133"/>
      <c r="PAV29" s="133"/>
      <c r="PAW29" s="133"/>
      <c r="PAX29" s="133"/>
      <c r="PAY29" s="133"/>
      <c r="PAZ29" s="133"/>
      <c r="PBA29" s="133"/>
      <c r="PBB29" s="133"/>
      <c r="PBC29" s="133"/>
      <c r="PBD29" s="133"/>
      <c r="PBE29" s="133"/>
      <c r="PBF29" s="133"/>
      <c r="PBG29" s="133"/>
      <c r="PBH29" s="133"/>
      <c r="PBI29" s="133"/>
      <c r="PBJ29" s="133"/>
      <c r="PBK29" s="133"/>
      <c r="PBL29" s="133"/>
      <c r="PBM29" s="133"/>
      <c r="PBN29" s="133"/>
      <c r="PBO29" s="133"/>
      <c r="PBP29" s="133"/>
      <c r="PBQ29" s="133"/>
      <c r="PBR29" s="133"/>
      <c r="PBS29" s="133"/>
      <c r="PBT29" s="133"/>
      <c r="PBU29" s="133"/>
      <c r="PBV29" s="133"/>
      <c r="PBW29" s="133"/>
      <c r="PBX29" s="133"/>
      <c r="PBY29" s="133"/>
      <c r="PBZ29" s="133"/>
      <c r="PCA29" s="133"/>
      <c r="PCB29" s="133"/>
      <c r="PCC29" s="133"/>
      <c r="PCD29" s="133"/>
      <c r="PCE29" s="133"/>
      <c r="PCF29" s="133"/>
      <c r="PCG29" s="133"/>
      <c r="PCH29" s="133"/>
      <c r="PCI29" s="133"/>
      <c r="PCJ29" s="133"/>
      <c r="PCK29" s="133"/>
      <c r="PCL29" s="133"/>
      <c r="PCM29" s="133"/>
      <c r="PCN29" s="133"/>
      <c r="PCO29" s="133"/>
      <c r="PCP29" s="133"/>
      <c r="PCQ29" s="133"/>
      <c r="PCR29" s="133"/>
      <c r="PCS29" s="133"/>
      <c r="PCT29" s="133"/>
      <c r="PCU29" s="133"/>
      <c r="PCV29" s="133"/>
      <c r="PCW29" s="133"/>
      <c r="PCX29" s="133"/>
      <c r="PCY29" s="133"/>
      <c r="PCZ29" s="133"/>
      <c r="PDA29" s="133"/>
      <c r="PDB29" s="133"/>
      <c r="PDC29" s="133"/>
      <c r="PDD29" s="133"/>
      <c r="PDE29" s="133"/>
      <c r="PDF29" s="133"/>
      <c r="PDG29" s="133"/>
      <c r="PDH29" s="133"/>
      <c r="PDI29" s="133"/>
      <c r="PDJ29" s="133"/>
      <c r="PDK29" s="133"/>
      <c r="PDL29" s="133"/>
      <c r="PDM29" s="133"/>
      <c r="PDN29" s="133"/>
      <c r="PDO29" s="133"/>
      <c r="PDP29" s="133"/>
      <c r="PDQ29" s="133"/>
      <c r="PDR29" s="133"/>
      <c r="PDS29" s="133"/>
      <c r="PDT29" s="133"/>
      <c r="PDU29" s="133"/>
      <c r="PDV29" s="133"/>
      <c r="PDW29" s="133"/>
      <c r="PDX29" s="133"/>
      <c r="PDY29" s="133"/>
      <c r="PDZ29" s="133"/>
      <c r="PEA29" s="133"/>
      <c r="PEB29" s="133"/>
      <c r="PEC29" s="133"/>
      <c r="PED29" s="133"/>
      <c r="PEE29" s="133"/>
      <c r="PEF29" s="133"/>
      <c r="PEG29" s="133"/>
      <c r="PEH29" s="133"/>
      <c r="PEI29" s="133"/>
      <c r="PEJ29" s="133"/>
      <c r="PEK29" s="133"/>
      <c r="PEL29" s="133"/>
      <c r="PEM29" s="133"/>
      <c r="PEN29" s="133"/>
      <c r="PEO29" s="133"/>
      <c r="PEP29" s="133"/>
      <c r="PEQ29" s="133"/>
      <c r="PER29" s="133"/>
      <c r="PES29" s="133"/>
      <c r="PET29" s="133"/>
      <c r="PEU29" s="133"/>
      <c r="PEV29" s="133"/>
      <c r="PEW29" s="133"/>
      <c r="PEX29" s="133"/>
      <c r="PEY29" s="133"/>
      <c r="PEZ29" s="133"/>
      <c r="PFA29" s="133"/>
      <c r="PFB29" s="133"/>
      <c r="PFC29" s="133"/>
      <c r="PFD29" s="133"/>
      <c r="PFE29" s="133"/>
      <c r="PFF29" s="133"/>
      <c r="PFG29" s="133"/>
      <c r="PFH29" s="133"/>
      <c r="PFI29" s="133"/>
      <c r="PFJ29" s="133"/>
      <c r="PFK29" s="133"/>
      <c r="PFL29" s="133"/>
      <c r="PFM29" s="133"/>
      <c r="PFN29" s="133"/>
      <c r="PFO29" s="133"/>
      <c r="PFP29" s="133"/>
      <c r="PFQ29" s="133"/>
      <c r="PFR29" s="133"/>
      <c r="PFS29" s="133"/>
      <c r="PFT29" s="133"/>
      <c r="PFU29" s="133"/>
      <c r="PFV29" s="133"/>
      <c r="PFW29" s="133"/>
      <c r="PFX29" s="133"/>
      <c r="PFY29" s="133"/>
      <c r="PFZ29" s="133"/>
      <c r="PGA29" s="133"/>
      <c r="PGB29" s="133"/>
      <c r="PGC29" s="133"/>
      <c r="PGD29" s="133"/>
      <c r="PGE29" s="133"/>
      <c r="PGF29" s="133"/>
      <c r="PGG29" s="133"/>
      <c r="PGH29" s="133"/>
      <c r="PGI29" s="133"/>
      <c r="PGJ29" s="133"/>
      <c r="PGK29" s="133"/>
      <c r="PGL29" s="133"/>
      <c r="PGM29" s="133"/>
      <c r="PGN29" s="133"/>
      <c r="PGO29" s="133"/>
      <c r="PGP29" s="133"/>
      <c r="PGQ29" s="133"/>
      <c r="PGR29" s="133"/>
      <c r="PGS29" s="133"/>
      <c r="PGT29" s="133"/>
      <c r="PGU29" s="133"/>
      <c r="PGV29" s="133"/>
      <c r="PGW29" s="133"/>
      <c r="PGX29" s="133"/>
      <c r="PGY29" s="133"/>
      <c r="PGZ29" s="133"/>
      <c r="PHA29" s="133"/>
      <c r="PHB29" s="133"/>
      <c r="PHC29" s="133"/>
      <c r="PHD29" s="133"/>
      <c r="PHE29" s="133"/>
      <c r="PHF29" s="133"/>
      <c r="PHG29" s="133"/>
      <c r="PHH29" s="133"/>
      <c r="PHI29" s="133"/>
      <c r="PHJ29" s="133"/>
      <c r="PHK29" s="133"/>
      <c r="PHL29" s="133"/>
      <c r="PHM29" s="133"/>
      <c r="PHN29" s="133"/>
      <c r="PHO29" s="133"/>
      <c r="PHP29" s="133"/>
      <c r="PHQ29" s="133"/>
      <c r="PHR29" s="133"/>
      <c r="PHS29" s="133"/>
      <c r="PHT29" s="133"/>
      <c r="PHU29" s="133"/>
      <c r="PHV29" s="133"/>
      <c r="PHW29" s="133"/>
      <c r="PHX29" s="133"/>
      <c r="PHY29" s="133"/>
      <c r="PHZ29" s="133"/>
      <c r="PIA29" s="133"/>
      <c r="PIB29" s="133"/>
      <c r="PIC29" s="133"/>
      <c r="PID29" s="133"/>
      <c r="PIE29" s="133"/>
      <c r="PIF29" s="133"/>
      <c r="PIG29" s="133"/>
      <c r="PIH29" s="133"/>
      <c r="PII29" s="133"/>
      <c r="PIJ29" s="133"/>
      <c r="PIK29" s="133"/>
      <c r="PIL29" s="133"/>
      <c r="PIM29" s="133"/>
      <c r="PIN29" s="133"/>
      <c r="PIO29" s="133"/>
      <c r="PIP29" s="133"/>
      <c r="PIQ29" s="133"/>
      <c r="PIR29" s="133"/>
      <c r="PIS29" s="133"/>
      <c r="PIT29" s="133"/>
      <c r="PIU29" s="133"/>
      <c r="PIV29" s="133"/>
      <c r="PIW29" s="133"/>
      <c r="PIX29" s="133"/>
      <c r="PIY29" s="133"/>
      <c r="PIZ29" s="133"/>
      <c r="PJA29" s="133"/>
      <c r="PJB29" s="133"/>
      <c r="PJC29" s="133"/>
      <c r="PJD29" s="133"/>
      <c r="PJE29" s="133"/>
      <c r="PJF29" s="133"/>
      <c r="PJG29" s="133"/>
      <c r="PJH29" s="133"/>
      <c r="PJI29" s="133"/>
      <c r="PJJ29" s="133"/>
      <c r="PJK29" s="133"/>
      <c r="PJL29" s="133"/>
      <c r="PJM29" s="133"/>
      <c r="PJN29" s="133"/>
      <c r="PJO29" s="133"/>
      <c r="PJP29" s="133"/>
      <c r="PJQ29" s="133"/>
      <c r="PJR29" s="133"/>
      <c r="PJS29" s="133"/>
      <c r="PJT29" s="133"/>
      <c r="PJU29" s="133"/>
      <c r="PJV29" s="133"/>
      <c r="PJW29" s="133"/>
      <c r="PJX29" s="133"/>
      <c r="PJY29" s="133"/>
      <c r="PJZ29" s="133"/>
      <c r="PKA29" s="133"/>
      <c r="PKB29" s="133"/>
      <c r="PKC29" s="133"/>
      <c r="PKD29" s="133"/>
      <c r="PKE29" s="133"/>
      <c r="PKF29" s="133"/>
      <c r="PKG29" s="133"/>
      <c r="PKH29" s="133"/>
      <c r="PKI29" s="133"/>
      <c r="PKJ29" s="133"/>
      <c r="PKK29" s="133"/>
      <c r="PKL29" s="133"/>
      <c r="PKM29" s="133"/>
      <c r="PKN29" s="133"/>
      <c r="PKO29" s="133"/>
      <c r="PKP29" s="133"/>
      <c r="PKQ29" s="133"/>
      <c r="PKR29" s="133"/>
      <c r="PKS29" s="133"/>
      <c r="PKT29" s="133"/>
      <c r="PKU29" s="133"/>
      <c r="PKV29" s="133"/>
      <c r="PKW29" s="133"/>
      <c r="PKX29" s="133"/>
      <c r="PKY29" s="133"/>
      <c r="PKZ29" s="133"/>
      <c r="PLA29" s="133"/>
      <c r="PLB29" s="133"/>
      <c r="PLC29" s="133"/>
      <c r="PLD29" s="133"/>
      <c r="PLE29" s="133"/>
      <c r="PLF29" s="133"/>
      <c r="PLG29" s="133"/>
      <c r="PLH29" s="133"/>
      <c r="PLI29" s="133"/>
      <c r="PLJ29" s="133"/>
      <c r="PLK29" s="133"/>
      <c r="PLL29" s="133"/>
      <c r="PLM29" s="133"/>
      <c r="PLN29" s="133"/>
      <c r="PLO29" s="133"/>
      <c r="PLP29" s="133"/>
      <c r="PLQ29" s="133"/>
      <c r="PLR29" s="133"/>
      <c r="PLS29" s="133"/>
      <c r="PLT29" s="133"/>
      <c r="PLU29" s="133"/>
      <c r="PLV29" s="133"/>
      <c r="PLW29" s="133"/>
      <c r="PLX29" s="133"/>
      <c r="PLY29" s="133"/>
      <c r="PLZ29" s="133"/>
      <c r="PMA29" s="133"/>
      <c r="PMB29" s="133"/>
      <c r="PMC29" s="133"/>
      <c r="PMD29" s="133"/>
      <c r="PME29" s="133"/>
      <c r="PMF29" s="133"/>
      <c r="PMG29" s="133"/>
      <c r="PMH29" s="133"/>
      <c r="PMI29" s="133"/>
      <c r="PMJ29" s="133"/>
      <c r="PMK29" s="133"/>
      <c r="PML29" s="133"/>
      <c r="PMM29" s="133"/>
      <c r="PMN29" s="133"/>
      <c r="PMO29" s="133"/>
      <c r="PMP29" s="133"/>
      <c r="PMQ29" s="133"/>
      <c r="PMR29" s="133"/>
      <c r="PMS29" s="133"/>
      <c r="PMT29" s="133"/>
      <c r="PMU29" s="133"/>
      <c r="PMV29" s="133"/>
      <c r="PMW29" s="133"/>
      <c r="PMX29" s="133"/>
      <c r="PMY29" s="133"/>
      <c r="PMZ29" s="133"/>
      <c r="PNA29" s="133"/>
      <c r="PNB29" s="133"/>
      <c r="PNC29" s="133"/>
      <c r="PND29" s="133"/>
      <c r="PNE29" s="133"/>
      <c r="PNF29" s="133"/>
      <c r="PNG29" s="133"/>
      <c r="PNH29" s="133"/>
      <c r="PNI29" s="133"/>
      <c r="PNJ29" s="133"/>
      <c r="PNK29" s="133"/>
      <c r="PNL29" s="133"/>
      <c r="PNM29" s="133"/>
      <c r="PNN29" s="133"/>
      <c r="PNO29" s="133"/>
      <c r="PNP29" s="133"/>
      <c r="PNQ29" s="133"/>
      <c r="PNR29" s="133"/>
      <c r="PNS29" s="133"/>
      <c r="PNT29" s="133"/>
      <c r="PNU29" s="133"/>
      <c r="PNV29" s="133"/>
      <c r="PNW29" s="133"/>
      <c r="PNX29" s="133"/>
      <c r="PNY29" s="133"/>
      <c r="PNZ29" s="133"/>
      <c r="POA29" s="133"/>
      <c r="POB29" s="133"/>
      <c r="POC29" s="133"/>
      <c r="POD29" s="133"/>
      <c r="POE29" s="133"/>
      <c r="POF29" s="133"/>
      <c r="POG29" s="133"/>
      <c r="POH29" s="133"/>
      <c r="POI29" s="133"/>
      <c r="POJ29" s="133"/>
      <c r="POK29" s="133"/>
      <c r="POL29" s="133"/>
      <c r="POM29" s="133"/>
      <c r="PON29" s="133"/>
      <c r="POO29" s="133"/>
      <c r="POP29" s="133"/>
      <c r="POQ29" s="133"/>
      <c r="POR29" s="133"/>
      <c r="POS29" s="133"/>
      <c r="POT29" s="133"/>
      <c r="POU29" s="133"/>
      <c r="POV29" s="133"/>
      <c r="POW29" s="133"/>
      <c r="POX29" s="133"/>
      <c r="POY29" s="133"/>
      <c r="POZ29" s="133"/>
      <c r="PPA29" s="133"/>
      <c r="PPB29" s="133"/>
      <c r="PPC29" s="133"/>
      <c r="PPD29" s="133"/>
      <c r="PPE29" s="133"/>
      <c r="PPF29" s="133"/>
      <c r="PPG29" s="133"/>
      <c r="PPH29" s="133"/>
      <c r="PPI29" s="133"/>
      <c r="PPJ29" s="133"/>
      <c r="PPK29" s="133"/>
      <c r="PPL29" s="133"/>
      <c r="PPM29" s="133"/>
      <c r="PPN29" s="133"/>
      <c r="PPO29" s="133"/>
      <c r="PPP29" s="133"/>
      <c r="PPQ29" s="133"/>
      <c r="PPR29" s="133"/>
      <c r="PPS29" s="133"/>
      <c r="PPT29" s="133"/>
      <c r="PPU29" s="133"/>
      <c r="PPV29" s="133"/>
      <c r="PPW29" s="133"/>
      <c r="PPX29" s="133"/>
      <c r="PPY29" s="133"/>
      <c r="PPZ29" s="133"/>
      <c r="PQA29" s="133"/>
      <c r="PQB29" s="133"/>
      <c r="PQC29" s="133"/>
      <c r="PQD29" s="133"/>
      <c r="PQE29" s="133"/>
      <c r="PQF29" s="133"/>
      <c r="PQG29" s="133"/>
      <c r="PQH29" s="133"/>
      <c r="PQI29" s="133"/>
      <c r="PQJ29" s="133"/>
      <c r="PQK29" s="133"/>
      <c r="PQL29" s="133"/>
      <c r="PQM29" s="133"/>
      <c r="PQN29" s="133"/>
      <c r="PQO29" s="133"/>
      <c r="PQP29" s="133"/>
      <c r="PQQ29" s="133"/>
      <c r="PQR29" s="133"/>
      <c r="PQS29" s="133"/>
      <c r="PQT29" s="133"/>
      <c r="PQU29" s="133"/>
      <c r="PQV29" s="133"/>
      <c r="PQW29" s="133"/>
      <c r="PQX29" s="133"/>
      <c r="PQY29" s="133"/>
      <c r="PQZ29" s="133"/>
      <c r="PRA29" s="133"/>
      <c r="PRB29" s="133"/>
      <c r="PRC29" s="133"/>
      <c r="PRD29" s="133"/>
      <c r="PRE29" s="133"/>
      <c r="PRF29" s="133"/>
      <c r="PRG29" s="133"/>
      <c r="PRH29" s="133"/>
      <c r="PRI29" s="133"/>
      <c r="PRJ29" s="133"/>
      <c r="PRK29" s="133"/>
      <c r="PRL29" s="133"/>
      <c r="PRM29" s="133"/>
      <c r="PRN29" s="133"/>
      <c r="PRO29" s="133"/>
      <c r="PRP29" s="133"/>
      <c r="PRQ29" s="133"/>
      <c r="PRR29" s="133"/>
      <c r="PRS29" s="133"/>
      <c r="PRT29" s="133"/>
      <c r="PRU29" s="133"/>
      <c r="PRV29" s="133"/>
      <c r="PRW29" s="133"/>
      <c r="PRX29" s="133"/>
      <c r="PRY29" s="133"/>
      <c r="PRZ29" s="133"/>
      <c r="PSA29" s="133"/>
      <c r="PSB29" s="133"/>
      <c r="PSC29" s="133"/>
      <c r="PSD29" s="133"/>
      <c r="PSE29" s="133"/>
      <c r="PSF29" s="133"/>
      <c r="PSG29" s="133"/>
      <c r="PSH29" s="133"/>
      <c r="PSI29" s="133"/>
      <c r="PSJ29" s="133"/>
      <c r="PSK29" s="133"/>
      <c r="PSL29" s="133"/>
      <c r="PSM29" s="133"/>
      <c r="PSN29" s="133"/>
      <c r="PSO29" s="133"/>
      <c r="PSP29" s="133"/>
      <c r="PSQ29" s="133"/>
      <c r="PSR29" s="133"/>
      <c r="PSS29" s="133"/>
      <c r="PST29" s="133"/>
      <c r="PSU29" s="133"/>
      <c r="PSV29" s="133"/>
      <c r="PSW29" s="133"/>
      <c r="PSX29" s="133"/>
      <c r="PSY29" s="133"/>
      <c r="PSZ29" s="133"/>
      <c r="PTA29" s="133"/>
      <c r="PTB29" s="133"/>
      <c r="PTC29" s="133"/>
      <c r="PTD29" s="133"/>
      <c r="PTE29" s="133"/>
      <c r="PTF29" s="133"/>
      <c r="PTG29" s="133"/>
      <c r="PTH29" s="133"/>
      <c r="PTI29" s="133"/>
      <c r="PTJ29" s="133"/>
      <c r="PTK29" s="133"/>
      <c r="PTL29" s="133"/>
      <c r="PTM29" s="133"/>
      <c r="PTN29" s="133"/>
      <c r="PTO29" s="133"/>
      <c r="PTP29" s="133"/>
      <c r="PTQ29" s="133"/>
      <c r="PTR29" s="133"/>
      <c r="PTS29" s="133"/>
      <c r="PTT29" s="133"/>
      <c r="PTU29" s="133"/>
      <c r="PTV29" s="133"/>
      <c r="PTW29" s="133"/>
      <c r="PTX29" s="133"/>
      <c r="PTY29" s="133"/>
      <c r="PTZ29" s="133"/>
      <c r="PUA29" s="133"/>
      <c r="PUB29" s="133"/>
      <c r="PUC29" s="133"/>
      <c r="PUD29" s="133"/>
      <c r="PUE29" s="133"/>
      <c r="PUF29" s="133"/>
      <c r="PUG29" s="133"/>
      <c r="PUH29" s="133"/>
      <c r="PUI29" s="133"/>
      <c r="PUJ29" s="133"/>
      <c r="PUK29" s="133"/>
      <c r="PUL29" s="133"/>
      <c r="PUM29" s="133"/>
      <c r="PUN29" s="133"/>
      <c r="PUO29" s="133"/>
      <c r="PUP29" s="133"/>
      <c r="PUQ29" s="133"/>
      <c r="PUR29" s="133"/>
      <c r="PUS29" s="133"/>
      <c r="PUT29" s="133"/>
      <c r="PUU29" s="133"/>
      <c r="PUV29" s="133"/>
      <c r="PUW29" s="133"/>
      <c r="PUX29" s="133"/>
      <c r="PUY29" s="133"/>
      <c r="PUZ29" s="133"/>
      <c r="PVA29" s="133"/>
      <c r="PVB29" s="133"/>
      <c r="PVC29" s="133"/>
      <c r="PVD29" s="133"/>
      <c r="PVE29" s="133"/>
      <c r="PVF29" s="133"/>
      <c r="PVG29" s="133"/>
      <c r="PVH29" s="133"/>
      <c r="PVI29" s="133"/>
      <c r="PVJ29" s="133"/>
      <c r="PVK29" s="133"/>
      <c r="PVL29" s="133"/>
      <c r="PVM29" s="133"/>
      <c r="PVN29" s="133"/>
      <c r="PVO29" s="133"/>
      <c r="PVP29" s="133"/>
      <c r="PVQ29" s="133"/>
      <c r="PVR29" s="133"/>
      <c r="PVS29" s="133"/>
      <c r="PVT29" s="133"/>
      <c r="PVU29" s="133"/>
      <c r="PVV29" s="133"/>
      <c r="PVW29" s="133"/>
      <c r="PVX29" s="133"/>
      <c r="PVY29" s="133"/>
      <c r="PVZ29" s="133"/>
      <c r="PWA29" s="133"/>
      <c r="PWB29" s="133"/>
      <c r="PWC29" s="133"/>
      <c r="PWD29" s="133"/>
      <c r="PWE29" s="133"/>
      <c r="PWF29" s="133"/>
      <c r="PWG29" s="133"/>
      <c r="PWH29" s="133"/>
      <c r="PWI29" s="133"/>
      <c r="PWJ29" s="133"/>
      <c r="PWK29" s="133"/>
      <c r="PWL29" s="133"/>
      <c r="PWM29" s="133"/>
      <c r="PWN29" s="133"/>
      <c r="PWO29" s="133"/>
      <c r="PWP29" s="133"/>
      <c r="PWQ29" s="133"/>
      <c r="PWR29" s="133"/>
      <c r="PWS29" s="133"/>
      <c r="PWT29" s="133"/>
      <c r="PWU29" s="133"/>
      <c r="PWV29" s="133"/>
      <c r="PWW29" s="133"/>
      <c r="PWX29" s="133"/>
      <c r="PWY29" s="133"/>
      <c r="PWZ29" s="133"/>
      <c r="PXA29" s="133"/>
      <c r="PXB29" s="133"/>
      <c r="PXC29" s="133"/>
      <c r="PXD29" s="133"/>
      <c r="PXE29" s="133"/>
      <c r="PXF29" s="133"/>
      <c r="PXG29" s="133"/>
      <c r="PXH29" s="133"/>
      <c r="PXI29" s="133"/>
      <c r="PXJ29" s="133"/>
      <c r="PXK29" s="133"/>
      <c r="PXL29" s="133"/>
      <c r="PXM29" s="133"/>
      <c r="PXN29" s="133"/>
      <c r="PXO29" s="133"/>
      <c r="PXP29" s="133"/>
      <c r="PXQ29" s="133"/>
      <c r="PXR29" s="133"/>
      <c r="PXS29" s="133"/>
      <c r="PXT29" s="133"/>
      <c r="PXU29" s="133"/>
      <c r="PXV29" s="133"/>
      <c r="PXW29" s="133"/>
      <c r="PXX29" s="133"/>
      <c r="PXY29" s="133"/>
      <c r="PXZ29" s="133"/>
      <c r="PYA29" s="133"/>
      <c r="PYB29" s="133"/>
      <c r="PYC29" s="133"/>
      <c r="PYD29" s="133"/>
      <c r="PYE29" s="133"/>
      <c r="PYF29" s="133"/>
      <c r="PYG29" s="133"/>
      <c r="PYH29" s="133"/>
      <c r="PYI29" s="133"/>
      <c r="PYJ29" s="133"/>
      <c r="PYK29" s="133"/>
      <c r="PYL29" s="133"/>
      <c r="PYM29" s="133"/>
      <c r="PYN29" s="133"/>
      <c r="PYO29" s="133"/>
      <c r="PYP29" s="133"/>
      <c r="PYQ29" s="133"/>
      <c r="PYR29" s="133"/>
      <c r="PYS29" s="133"/>
      <c r="PYT29" s="133"/>
      <c r="PYU29" s="133"/>
      <c r="PYV29" s="133"/>
      <c r="PYW29" s="133"/>
      <c r="PYX29" s="133"/>
      <c r="PYY29" s="133"/>
      <c r="PYZ29" s="133"/>
      <c r="PZA29" s="133"/>
      <c r="PZB29" s="133"/>
      <c r="PZC29" s="133"/>
      <c r="PZD29" s="133"/>
      <c r="PZE29" s="133"/>
      <c r="PZF29" s="133"/>
      <c r="PZG29" s="133"/>
      <c r="PZH29" s="133"/>
      <c r="PZI29" s="133"/>
      <c r="PZJ29" s="133"/>
      <c r="PZK29" s="133"/>
      <c r="PZL29" s="133"/>
      <c r="PZM29" s="133"/>
      <c r="PZN29" s="133"/>
      <c r="PZO29" s="133"/>
      <c r="PZP29" s="133"/>
      <c r="PZQ29" s="133"/>
      <c r="PZR29" s="133"/>
      <c r="PZS29" s="133"/>
      <c r="PZT29" s="133"/>
      <c r="PZU29" s="133"/>
      <c r="PZV29" s="133"/>
      <c r="PZW29" s="133"/>
      <c r="PZX29" s="133"/>
      <c r="PZY29" s="133"/>
      <c r="PZZ29" s="133"/>
      <c r="QAA29" s="133"/>
      <c r="QAB29" s="133"/>
      <c r="QAC29" s="133"/>
      <c r="QAD29" s="133"/>
      <c r="QAE29" s="133"/>
      <c r="QAF29" s="133"/>
      <c r="QAG29" s="133"/>
      <c r="QAH29" s="133"/>
      <c r="QAI29" s="133"/>
      <c r="QAJ29" s="133"/>
      <c r="QAK29" s="133"/>
      <c r="QAL29" s="133"/>
      <c r="QAM29" s="133"/>
      <c r="QAN29" s="133"/>
      <c r="QAO29" s="133"/>
      <c r="QAP29" s="133"/>
      <c r="QAQ29" s="133"/>
      <c r="QAR29" s="133"/>
      <c r="QAS29" s="133"/>
      <c r="QAT29" s="133"/>
      <c r="QAU29" s="133"/>
      <c r="QAV29" s="133"/>
      <c r="QAW29" s="133"/>
      <c r="QAX29" s="133"/>
      <c r="QAY29" s="133"/>
      <c r="QAZ29" s="133"/>
      <c r="QBA29" s="133"/>
      <c r="QBB29" s="133"/>
      <c r="QBC29" s="133"/>
      <c r="QBD29" s="133"/>
      <c r="QBE29" s="133"/>
      <c r="QBF29" s="133"/>
      <c r="QBG29" s="133"/>
      <c r="QBH29" s="133"/>
      <c r="QBI29" s="133"/>
      <c r="QBJ29" s="133"/>
      <c r="QBK29" s="133"/>
      <c r="QBL29" s="133"/>
      <c r="QBM29" s="133"/>
      <c r="QBN29" s="133"/>
      <c r="QBO29" s="133"/>
      <c r="QBP29" s="133"/>
      <c r="QBQ29" s="133"/>
      <c r="QBR29" s="133"/>
      <c r="QBS29" s="133"/>
      <c r="QBT29" s="133"/>
      <c r="QBU29" s="133"/>
      <c r="QBV29" s="133"/>
      <c r="QBW29" s="133"/>
      <c r="QBX29" s="133"/>
      <c r="QBY29" s="133"/>
      <c r="QBZ29" s="133"/>
      <c r="QCA29" s="133"/>
      <c r="QCB29" s="133"/>
      <c r="QCC29" s="133"/>
      <c r="QCD29" s="133"/>
      <c r="QCE29" s="133"/>
      <c r="QCF29" s="133"/>
      <c r="QCG29" s="133"/>
      <c r="QCH29" s="133"/>
      <c r="QCI29" s="133"/>
      <c r="QCJ29" s="133"/>
      <c r="QCK29" s="133"/>
      <c r="QCL29" s="133"/>
      <c r="QCM29" s="133"/>
      <c r="QCN29" s="133"/>
      <c r="QCO29" s="133"/>
      <c r="QCP29" s="133"/>
      <c r="QCQ29" s="133"/>
      <c r="QCR29" s="133"/>
      <c r="QCS29" s="133"/>
      <c r="QCT29" s="133"/>
      <c r="QCU29" s="133"/>
      <c r="QCV29" s="133"/>
      <c r="QCW29" s="133"/>
      <c r="QCX29" s="133"/>
      <c r="QCY29" s="133"/>
      <c r="QCZ29" s="133"/>
      <c r="QDA29" s="133"/>
      <c r="QDB29" s="133"/>
      <c r="QDC29" s="133"/>
      <c r="QDD29" s="133"/>
      <c r="QDE29" s="133"/>
      <c r="QDF29" s="133"/>
      <c r="QDG29" s="133"/>
      <c r="QDH29" s="133"/>
      <c r="QDI29" s="133"/>
      <c r="QDJ29" s="133"/>
      <c r="QDK29" s="133"/>
      <c r="QDL29" s="133"/>
      <c r="QDM29" s="133"/>
      <c r="QDN29" s="133"/>
      <c r="QDO29" s="133"/>
      <c r="QDP29" s="133"/>
      <c r="QDQ29" s="133"/>
      <c r="QDR29" s="133"/>
      <c r="QDS29" s="133"/>
      <c r="QDT29" s="133"/>
      <c r="QDU29" s="133"/>
      <c r="QDV29" s="133"/>
      <c r="QDW29" s="133"/>
      <c r="QDX29" s="133"/>
      <c r="QDY29" s="133"/>
      <c r="QDZ29" s="133"/>
      <c r="QEA29" s="133"/>
      <c r="QEB29" s="133"/>
      <c r="QEC29" s="133"/>
      <c r="QED29" s="133"/>
      <c r="QEE29" s="133"/>
      <c r="QEF29" s="133"/>
      <c r="QEG29" s="133"/>
      <c r="QEH29" s="133"/>
      <c r="QEI29" s="133"/>
      <c r="QEJ29" s="133"/>
      <c r="QEK29" s="133"/>
      <c r="QEL29" s="133"/>
      <c r="QEM29" s="133"/>
      <c r="QEN29" s="133"/>
      <c r="QEO29" s="133"/>
      <c r="QEP29" s="133"/>
      <c r="QEQ29" s="133"/>
      <c r="QER29" s="133"/>
      <c r="QES29" s="133"/>
      <c r="QET29" s="133"/>
      <c r="QEU29" s="133"/>
      <c r="QEV29" s="133"/>
      <c r="QEW29" s="133"/>
      <c r="QEX29" s="133"/>
      <c r="QEY29" s="133"/>
      <c r="QEZ29" s="133"/>
      <c r="QFA29" s="133"/>
      <c r="QFB29" s="133"/>
      <c r="QFC29" s="133"/>
      <c r="QFD29" s="133"/>
      <c r="QFE29" s="133"/>
      <c r="QFF29" s="133"/>
      <c r="QFG29" s="133"/>
      <c r="QFH29" s="133"/>
      <c r="QFI29" s="133"/>
      <c r="QFJ29" s="133"/>
      <c r="QFK29" s="133"/>
      <c r="QFL29" s="133"/>
      <c r="QFM29" s="133"/>
      <c r="QFN29" s="133"/>
      <c r="QFO29" s="133"/>
      <c r="QFP29" s="133"/>
      <c r="QFQ29" s="133"/>
      <c r="QFR29" s="133"/>
      <c r="QFS29" s="133"/>
      <c r="QFT29" s="133"/>
      <c r="QFU29" s="133"/>
      <c r="QFV29" s="133"/>
      <c r="QFW29" s="133"/>
      <c r="QFX29" s="133"/>
      <c r="QFY29" s="133"/>
      <c r="QFZ29" s="133"/>
      <c r="QGA29" s="133"/>
      <c r="QGB29" s="133"/>
      <c r="QGC29" s="133"/>
      <c r="QGD29" s="133"/>
      <c r="QGE29" s="133"/>
      <c r="QGF29" s="133"/>
      <c r="QGG29" s="133"/>
      <c r="QGH29" s="133"/>
      <c r="QGI29" s="133"/>
      <c r="QGJ29" s="133"/>
      <c r="QGK29" s="133"/>
      <c r="QGL29" s="133"/>
      <c r="QGM29" s="133"/>
      <c r="QGN29" s="133"/>
      <c r="QGO29" s="133"/>
      <c r="QGP29" s="133"/>
      <c r="QGQ29" s="133"/>
      <c r="QGR29" s="133"/>
      <c r="QGS29" s="133"/>
      <c r="QGT29" s="133"/>
      <c r="QGU29" s="133"/>
      <c r="QGV29" s="133"/>
      <c r="QGW29" s="133"/>
      <c r="QGX29" s="133"/>
      <c r="QGY29" s="133"/>
      <c r="QGZ29" s="133"/>
      <c r="QHA29" s="133"/>
      <c r="QHB29" s="133"/>
      <c r="QHC29" s="133"/>
      <c r="QHD29" s="133"/>
      <c r="QHE29" s="133"/>
      <c r="QHF29" s="133"/>
      <c r="QHG29" s="133"/>
      <c r="QHH29" s="133"/>
      <c r="QHI29" s="133"/>
      <c r="QHJ29" s="133"/>
      <c r="QHK29" s="133"/>
      <c r="QHL29" s="133"/>
      <c r="QHM29" s="133"/>
      <c r="QHN29" s="133"/>
      <c r="QHO29" s="133"/>
      <c r="QHP29" s="133"/>
      <c r="QHQ29" s="133"/>
      <c r="QHR29" s="133"/>
      <c r="QHS29" s="133"/>
      <c r="QHT29" s="133"/>
      <c r="QHU29" s="133"/>
      <c r="QHV29" s="133"/>
      <c r="QHW29" s="133"/>
      <c r="QHX29" s="133"/>
      <c r="QHY29" s="133"/>
      <c r="QHZ29" s="133"/>
      <c r="QIA29" s="133"/>
      <c r="QIB29" s="133"/>
      <c r="QIC29" s="133"/>
      <c r="QID29" s="133"/>
      <c r="QIE29" s="133"/>
      <c r="QIF29" s="133"/>
      <c r="QIG29" s="133"/>
      <c r="QIH29" s="133"/>
      <c r="QII29" s="133"/>
      <c r="QIJ29" s="133"/>
      <c r="QIK29" s="133"/>
      <c r="QIL29" s="133"/>
      <c r="QIM29" s="133"/>
      <c r="QIN29" s="133"/>
      <c r="QIO29" s="133"/>
      <c r="QIP29" s="133"/>
      <c r="QIQ29" s="133"/>
      <c r="QIR29" s="133"/>
      <c r="QIS29" s="133"/>
      <c r="QIT29" s="133"/>
      <c r="QIU29" s="133"/>
      <c r="QIV29" s="133"/>
      <c r="QIW29" s="133"/>
      <c r="QIX29" s="133"/>
      <c r="QIY29" s="133"/>
      <c r="QIZ29" s="133"/>
      <c r="QJA29" s="133"/>
      <c r="QJB29" s="133"/>
      <c r="QJC29" s="133"/>
      <c r="QJD29" s="133"/>
      <c r="QJE29" s="133"/>
      <c r="QJF29" s="133"/>
      <c r="QJG29" s="133"/>
      <c r="QJH29" s="133"/>
      <c r="QJI29" s="133"/>
      <c r="QJJ29" s="133"/>
      <c r="QJK29" s="133"/>
      <c r="QJL29" s="133"/>
      <c r="QJM29" s="133"/>
      <c r="QJN29" s="133"/>
      <c r="QJO29" s="133"/>
      <c r="QJP29" s="133"/>
      <c r="QJQ29" s="133"/>
      <c r="QJR29" s="133"/>
      <c r="QJS29" s="133"/>
      <c r="QJT29" s="133"/>
      <c r="QJU29" s="133"/>
      <c r="QJV29" s="133"/>
      <c r="QJW29" s="133"/>
      <c r="QJX29" s="133"/>
      <c r="QJY29" s="133"/>
      <c r="QJZ29" s="133"/>
      <c r="QKA29" s="133"/>
      <c r="QKB29" s="133"/>
      <c r="QKC29" s="133"/>
      <c r="QKD29" s="133"/>
      <c r="QKE29" s="133"/>
      <c r="QKF29" s="133"/>
      <c r="QKG29" s="133"/>
      <c r="QKH29" s="133"/>
      <c r="QKI29" s="133"/>
      <c r="QKJ29" s="133"/>
      <c r="QKK29" s="133"/>
      <c r="QKL29" s="133"/>
      <c r="QKM29" s="133"/>
      <c r="QKN29" s="133"/>
      <c r="QKO29" s="133"/>
      <c r="QKP29" s="133"/>
      <c r="QKQ29" s="133"/>
      <c r="QKR29" s="133"/>
      <c r="QKS29" s="133"/>
      <c r="QKT29" s="133"/>
      <c r="QKU29" s="133"/>
      <c r="QKV29" s="133"/>
      <c r="QKW29" s="133"/>
      <c r="QKX29" s="133"/>
      <c r="QKY29" s="133"/>
      <c r="QKZ29" s="133"/>
      <c r="QLA29" s="133"/>
      <c r="QLB29" s="133"/>
      <c r="QLC29" s="133"/>
      <c r="QLD29" s="133"/>
      <c r="QLE29" s="133"/>
      <c r="QLF29" s="133"/>
      <c r="QLG29" s="133"/>
      <c r="QLH29" s="133"/>
      <c r="QLI29" s="133"/>
      <c r="QLJ29" s="133"/>
      <c r="QLK29" s="133"/>
      <c r="QLL29" s="133"/>
      <c r="QLM29" s="133"/>
      <c r="QLN29" s="133"/>
      <c r="QLO29" s="133"/>
      <c r="QLP29" s="133"/>
      <c r="QLQ29" s="133"/>
      <c r="QLR29" s="133"/>
      <c r="QLS29" s="133"/>
      <c r="QLT29" s="133"/>
      <c r="QLU29" s="133"/>
      <c r="QLV29" s="133"/>
      <c r="QLW29" s="133"/>
      <c r="QLX29" s="133"/>
      <c r="QLY29" s="133"/>
      <c r="QLZ29" s="133"/>
      <c r="QMA29" s="133"/>
      <c r="QMB29" s="133"/>
      <c r="QMC29" s="133"/>
      <c r="QMD29" s="133"/>
      <c r="QME29" s="133"/>
      <c r="QMF29" s="133"/>
      <c r="QMG29" s="133"/>
      <c r="QMH29" s="133"/>
      <c r="QMI29" s="133"/>
      <c r="QMJ29" s="133"/>
      <c r="QMK29" s="133"/>
      <c r="QML29" s="133"/>
      <c r="QMM29" s="133"/>
      <c r="QMN29" s="133"/>
      <c r="QMO29" s="133"/>
      <c r="QMP29" s="133"/>
      <c r="QMQ29" s="133"/>
      <c r="QMR29" s="133"/>
      <c r="QMS29" s="133"/>
      <c r="QMT29" s="133"/>
      <c r="QMU29" s="133"/>
      <c r="QMV29" s="133"/>
      <c r="QMW29" s="133"/>
      <c r="QMX29" s="133"/>
      <c r="QMY29" s="133"/>
      <c r="QMZ29" s="133"/>
      <c r="QNA29" s="133"/>
      <c r="QNB29" s="133"/>
      <c r="QNC29" s="133"/>
      <c r="QND29" s="133"/>
      <c r="QNE29" s="133"/>
      <c r="QNF29" s="133"/>
      <c r="QNG29" s="133"/>
      <c r="QNH29" s="133"/>
      <c r="QNI29" s="133"/>
      <c r="QNJ29" s="133"/>
      <c r="QNK29" s="133"/>
      <c r="QNL29" s="133"/>
      <c r="QNM29" s="133"/>
      <c r="QNN29" s="133"/>
      <c r="QNO29" s="133"/>
      <c r="QNP29" s="133"/>
      <c r="QNQ29" s="133"/>
      <c r="QNR29" s="133"/>
      <c r="QNS29" s="133"/>
      <c r="QNT29" s="133"/>
      <c r="QNU29" s="133"/>
      <c r="QNV29" s="133"/>
      <c r="QNW29" s="133"/>
      <c r="QNX29" s="133"/>
      <c r="QNY29" s="133"/>
      <c r="QNZ29" s="133"/>
      <c r="QOA29" s="133"/>
      <c r="QOB29" s="133"/>
      <c r="QOC29" s="133"/>
      <c r="QOD29" s="133"/>
      <c r="QOE29" s="133"/>
      <c r="QOF29" s="133"/>
      <c r="QOG29" s="133"/>
      <c r="QOH29" s="133"/>
      <c r="QOI29" s="133"/>
      <c r="QOJ29" s="133"/>
      <c r="QOK29" s="133"/>
      <c r="QOL29" s="133"/>
      <c r="QOM29" s="133"/>
      <c r="QON29" s="133"/>
      <c r="QOO29" s="133"/>
      <c r="QOP29" s="133"/>
      <c r="QOQ29" s="133"/>
      <c r="QOR29" s="133"/>
      <c r="QOS29" s="133"/>
      <c r="QOT29" s="133"/>
      <c r="QOU29" s="133"/>
      <c r="QOV29" s="133"/>
      <c r="QOW29" s="133"/>
      <c r="QOX29" s="133"/>
      <c r="QOY29" s="133"/>
      <c r="QOZ29" s="133"/>
      <c r="QPA29" s="133"/>
      <c r="QPB29" s="133"/>
      <c r="QPC29" s="133"/>
      <c r="QPD29" s="133"/>
      <c r="QPE29" s="133"/>
      <c r="QPF29" s="133"/>
      <c r="QPG29" s="133"/>
      <c r="QPH29" s="133"/>
      <c r="QPI29" s="133"/>
      <c r="QPJ29" s="133"/>
      <c r="QPK29" s="133"/>
      <c r="QPL29" s="133"/>
      <c r="QPM29" s="133"/>
      <c r="QPN29" s="133"/>
      <c r="QPO29" s="133"/>
      <c r="QPP29" s="133"/>
      <c r="QPQ29" s="133"/>
      <c r="QPR29" s="133"/>
      <c r="QPS29" s="133"/>
      <c r="QPT29" s="133"/>
      <c r="QPU29" s="133"/>
      <c r="QPV29" s="133"/>
      <c r="QPW29" s="133"/>
      <c r="QPX29" s="133"/>
      <c r="QPY29" s="133"/>
      <c r="QPZ29" s="133"/>
      <c r="QQA29" s="133"/>
      <c r="QQB29" s="133"/>
      <c r="QQC29" s="133"/>
      <c r="QQD29" s="133"/>
      <c r="QQE29" s="133"/>
      <c r="QQF29" s="133"/>
      <c r="QQG29" s="133"/>
      <c r="QQH29" s="133"/>
      <c r="QQI29" s="133"/>
      <c r="QQJ29" s="133"/>
      <c r="QQK29" s="133"/>
      <c r="QQL29" s="133"/>
      <c r="QQM29" s="133"/>
      <c r="QQN29" s="133"/>
      <c r="QQO29" s="133"/>
      <c r="QQP29" s="133"/>
      <c r="QQQ29" s="133"/>
      <c r="QQR29" s="133"/>
      <c r="QQS29" s="133"/>
      <c r="QQT29" s="133"/>
      <c r="QQU29" s="133"/>
      <c r="QQV29" s="133"/>
      <c r="QQW29" s="133"/>
      <c r="QQX29" s="133"/>
      <c r="QQY29" s="133"/>
      <c r="QQZ29" s="133"/>
      <c r="QRA29" s="133"/>
      <c r="QRB29" s="133"/>
      <c r="QRC29" s="133"/>
      <c r="QRD29" s="133"/>
      <c r="QRE29" s="133"/>
      <c r="QRF29" s="133"/>
      <c r="QRG29" s="133"/>
      <c r="QRH29" s="133"/>
      <c r="QRI29" s="133"/>
      <c r="QRJ29" s="133"/>
      <c r="QRK29" s="133"/>
      <c r="QRL29" s="133"/>
      <c r="QRM29" s="133"/>
      <c r="QRN29" s="133"/>
      <c r="QRO29" s="133"/>
      <c r="QRP29" s="133"/>
      <c r="QRQ29" s="133"/>
      <c r="QRR29" s="133"/>
      <c r="QRS29" s="133"/>
      <c r="QRT29" s="133"/>
      <c r="QRU29" s="133"/>
      <c r="QRV29" s="133"/>
      <c r="QRW29" s="133"/>
      <c r="QRX29" s="133"/>
      <c r="QRY29" s="133"/>
      <c r="QRZ29" s="133"/>
      <c r="QSA29" s="133"/>
      <c r="QSB29" s="133"/>
      <c r="QSC29" s="133"/>
      <c r="QSD29" s="133"/>
      <c r="QSE29" s="133"/>
      <c r="QSF29" s="133"/>
      <c r="QSG29" s="133"/>
      <c r="QSH29" s="133"/>
      <c r="QSI29" s="133"/>
      <c r="QSJ29" s="133"/>
      <c r="QSK29" s="133"/>
      <c r="QSL29" s="133"/>
      <c r="QSM29" s="133"/>
      <c r="QSN29" s="133"/>
      <c r="QSO29" s="133"/>
      <c r="QSP29" s="133"/>
      <c r="QSQ29" s="133"/>
      <c r="QSR29" s="133"/>
      <c r="QSS29" s="133"/>
      <c r="QST29" s="133"/>
      <c r="QSU29" s="133"/>
      <c r="QSV29" s="133"/>
      <c r="QSW29" s="133"/>
      <c r="QSX29" s="133"/>
      <c r="QSY29" s="133"/>
      <c r="QSZ29" s="133"/>
      <c r="QTA29" s="133"/>
      <c r="QTB29" s="133"/>
      <c r="QTC29" s="133"/>
      <c r="QTD29" s="133"/>
      <c r="QTE29" s="133"/>
      <c r="QTF29" s="133"/>
      <c r="QTG29" s="133"/>
      <c r="QTH29" s="133"/>
      <c r="QTI29" s="133"/>
      <c r="QTJ29" s="133"/>
      <c r="QTK29" s="133"/>
      <c r="QTL29" s="133"/>
      <c r="QTM29" s="133"/>
      <c r="QTN29" s="133"/>
      <c r="QTO29" s="133"/>
      <c r="QTP29" s="133"/>
      <c r="QTQ29" s="133"/>
      <c r="QTR29" s="133"/>
      <c r="QTS29" s="133"/>
      <c r="QTT29" s="133"/>
      <c r="QTU29" s="133"/>
      <c r="QTV29" s="133"/>
      <c r="QTW29" s="133"/>
      <c r="QTX29" s="133"/>
      <c r="QTY29" s="133"/>
      <c r="QTZ29" s="133"/>
      <c r="QUA29" s="133"/>
      <c r="QUB29" s="133"/>
      <c r="QUC29" s="133"/>
      <c r="QUD29" s="133"/>
      <c r="QUE29" s="133"/>
      <c r="QUF29" s="133"/>
      <c r="QUG29" s="133"/>
      <c r="QUH29" s="133"/>
      <c r="QUI29" s="133"/>
      <c r="QUJ29" s="133"/>
      <c r="QUK29" s="133"/>
      <c r="QUL29" s="133"/>
      <c r="QUM29" s="133"/>
      <c r="QUN29" s="133"/>
      <c r="QUO29" s="133"/>
      <c r="QUP29" s="133"/>
      <c r="QUQ29" s="133"/>
      <c r="QUR29" s="133"/>
      <c r="QUS29" s="133"/>
      <c r="QUT29" s="133"/>
      <c r="QUU29" s="133"/>
      <c r="QUV29" s="133"/>
      <c r="QUW29" s="133"/>
      <c r="QUX29" s="133"/>
      <c r="QUY29" s="133"/>
      <c r="QUZ29" s="133"/>
      <c r="QVA29" s="133"/>
      <c r="QVB29" s="133"/>
      <c r="QVC29" s="133"/>
      <c r="QVD29" s="133"/>
      <c r="QVE29" s="133"/>
      <c r="QVF29" s="133"/>
      <c r="QVG29" s="133"/>
      <c r="QVH29" s="133"/>
      <c r="QVI29" s="133"/>
      <c r="QVJ29" s="133"/>
      <c r="QVK29" s="133"/>
      <c r="QVL29" s="133"/>
      <c r="QVM29" s="133"/>
      <c r="QVN29" s="133"/>
      <c r="QVO29" s="133"/>
      <c r="QVP29" s="133"/>
      <c r="QVQ29" s="133"/>
      <c r="QVR29" s="133"/>
      <c r="QVS29" s="133"/>
      <c r="QVT29" s="133"/>
      <c r="QVU29" s="133"/>
      <c r="QVV29" s="133"/>
      <c r="QVW29" s="133"/>
      <c r="QVX29" s="133"/>
      <c r="QVY29" s="133"/>
      <c r="QVZ29" s="133"/>
      <c r="QWA29" s="133"/>
      <c r="QWB29" s="133"/>
      <c r="QWC29" s="133"/>
      <c r="QWD29" s="133"/>
      <c r="QWE29" s="133"/>
      <c r="QWF29" s="133"/>
      <c r="QWG29" s="133"/>
      <c r="QWH29" s="133"/>
      <c r="QWI29" s="133"/>
      <c r="QWJ29" s="133"/>
      <c r="QWK29" s="133"/>
      <c r="QWL29" s="133"/>
      <c r="QWM29" s="133"/>
      <c r="QWN29" s="133"/>
      <c r="QWO29" s="133"/>
      <c r="QWP29" s="133"/>
      <c r="QWQ29" s="133"/>
      <c r="QWR29" s="133"/>
      <c r="QWS29" s="133"/>
      <c r="QWT29" s="133"/>
      <c r="QWU29" s="133"/>
      <c r="QWV29" s="133"/>
      <c r="QWW29" s="133"/>
      <c r="QWX29" s="133"/>
      <c r="QWY29" s="133"/>
      <c r="QWZ29" s="133"/>
      <c r="QXA29" s="133"/>
      <c r="QXB29" s="133"/>
      <c r="QXC29" s="133"/>
      <c r="QXD29" s="133"/>
      <c r="QXE29" s="133"/>
      <c r="QXF29" s="133"/>
      <c r="QXG29" s="133"/>
      <c r="QXH29" s="133"/>
      <c r="QXI29" s="133"/>
      <c r="QXJ29" s="133"/>
      <c r="QXK29" s="133"/>
      <c r="QXL29" s="133"/>
      <c r="QXM29" s="133"/>
      <c r="QXN29" s="133"/>
      <c r="QXO29" s="133"/>
      <c r="QXP29" s="133"/>
      <c r="QXQ29" s="133"/>
      <c r="QXR29" s="133"/>
      <c r="QXS29" s="133"/>
      <c r="QXT29" s="133"/>
      <c r="QXU29" s="133"/>
      <c r="QXV29" s="133"/>
      <c r="QXW29" s="133"/>
      <c r="QXX29" s="133"/>
      <c r="QXY29" s="133"/>
      <c r="QXZ29" s="133"/>
      <c r="QYA29" s="133"/>
      <c r="QYB29" s="133"/>
      <c r="QYC29" s="133"/>
      <c r="QYD29" s="133"/>
      <c r="QYE29" s="133"/>
      <c r="QYF29" s="133"/>
      <c r="QYG29" s="133"/>
      <c r="QYH29" s="133"/>
      <c r="QYI29" s="133"/>
      <c r="QYJ29" s="133"/>
      <c r="QYK29" s="133"/>
      <c r="QYL29" s="133"/>
      <c r="QYM29" s="133"/>
      <c r="QYN29" s="133"/>
      <c r="QYO29" s="133"/>
      <c r="QYP29" s="133"/>
      <c r="QYQ29" s="133"/>
      <c r="QYR29" s="133"/>
      <c r="QYS29" s="133"/>
      <c r="QYT29" s="133"/>
      <c r="QYU29" s="133"/>
      <c r="QYV29" s="133"/>
      <c r="QYW29" s="133"/>
      <c r="QYX29" s="133"/>
      <c r="QYY29" s="133"/>
      <c r="QYZ29" s="133"/>
      <c r="QZA29" s="133"/>
      <c r="QZB29" s="133"/>
      <c r="QZC29" s="133"/>
      <c r="QZD29" s="133"/>
      <c r="QZE29" s="133"/>
      <c r="QZF29" s="133"/>
      <c r="QZG29" s="133"/>
      <c r="QZH29" s="133"/>
      <c r="QZI29" s="133"/>
      <c r="QZJ29" s="133"/>
      <c r="QZK29" s="133"/>
      <c r="QZL29" s="133"/>
      <c r="QZM29" s="133"/>
      <c r="QZN29" s="133"/>
      <c r="QZO29" s="133"/>
      <c r="QZP29" s="133"/>
      <c r="QZQ29" s="133"/>
      <c r="QZR29" s="133"/>
      <c r="QZS29" s="133"/>
      <c r="QZT29" s="133"/>
      <c r="QZU29" s="133"/>
      <c r="QZV29" s="133"/>
      <c r="QZW29" s="133"/>
      <c r="QZX29" s="133"/>
      <c r="QZY29" s="133"/>
      <c r="QZZ29" s="133"/>
      <c r="RAA29" s="133"/>
      <c r="RAB29" s="133"/>
      <c r="RAC29" s="133"/>
      <c r="RAD29" s="133"/>
      <c r="RAE29" s="133"/>
      <c r="RAF29" s="133"/>
      <c r="RAG29" s="133"/>
      <c r="RAH29" s="133"/>
      <c r="RAI29" s="133"/>
      <c r="RAJ29" s="133"/>
      <c r="RAK29" s="133"/>
      <c r="RAL29" s="133"/>
      <c r="RAM29" s="133"/>
      <c r="RAN29" s="133"/>
      <c r="RAO29" s="133"/>
      <c r="RAP29" s="133"/>
      <c r="RAQ29" s="133"/>
      <c r="RAR29" s="133"/>
      <c r="RAS29" s="133"/>
      <c r="RAT29" s="133"/>
      <c r="RAU29" s="133"/>
      <c r="RAV29" s="133"/>
      <c r="RAW29" s="133"/>
      <c r="RAX29" s="133"/>
      <c r="RAY29" s="133"/>
      <c r="RAZ29" s="133"/>
      <c r="RBA29" s="133"/>
      <c r="RBB29" s="133"/>
      <c r="RBC29" s="133"/>
      <c r="RBD29" s="133"/>
      <c r="RBE29" s="133"/>
      <c r="RBF29" s="133"/>
      <c r="RBG29" s="133"/>
      <c r="RBH29" s="133"/>
      <c r="RBI29" s="133"/>
      <c r="RBJ29" s="133"/>
      <c r="RBK29" s="133"/>
      <c r="RBL29" s="133"/>
      <c r="RBM29" s="133"/>
      <c r="RBN29" s="133"/>
      <c r="RBO29" s="133"/>
      <c r="RBP29" s="133"/>
      <c r="RBQ29" s="133"/>
      <c r="RBR29" s="133"/>
      <c r="RBS29" s="133"/>
      <c r="RBT29" s="133"/>
      <c r="RBU29" s="133"/>
      <c r="RBV29" s="133"/>
      <c r="RBW29" s="133"/>
      <c r="RBX29" s="133"/>
      <c r="RBY29" s="133"/>
      <c r="RBZ29" s="133"/>
      <c r="RCA29" s="133"/>
      <c r="RCB29" s="133"/>
      <c r="RCC29" s="133"/>
      <c r="RCD29" s="133"/>
      <c r="RCE29" s="133"/>
      <c r="RCF29" s="133"/>
      <c r="RCG29" s="133"/>
      <c r="RCH29" s="133"/>
      <c r="RCI29" s="133"/>
      <c r="RCJ29" s="133"/>
      <c r="RCK29" s="133"/>
      <c r="RCL29" s="133"/>
      <c r="RCM29" s="133"/>
      <c r="RCN29" s="133"/>
      <c r="RCO29" s="133"/>
      <c r="RCP29" s="133"/>
      <c r="RCQ29" s="133"/>
      <c r="RCR29" s="133"/>
      <c r="RCS29" s="133"/>
      <c r="RCT29" s="133"/>
      <c r="RCU29" s="133"/>
      <c r="RCV29" s="133"/>
      <c r="RCW29" s="133"/>
      <c r="RCX29" s="133"/>
      <c r="RCY29" s="133"/>
      <c r="RCZ29" s="133"/>
      <c r="RDA29" s="133"/>
      <c r="RDB29" s="133"/>
      <c r="RDC29" s="133"/>
      <c r="RDD29" s="133"/>
      <c r="RDE29" s="133"/>
      <c r="RDF29" s="133"/>
      <c r="RDG29" s="133"/>
      <c r="RDH29" s="133"/>
      <c r="RDI29" s="133"/>
      <c r="RDJ29" s="133"/>
      <c r="RDK29" s="133"/>
      <c r="RDL29" s="133"/>
      <c r="RDM29" s="133"/>
      <c r="RDN29" s="133"/>
      <c r="RDO29" s="133"/>
      <c r="RDP29" s="133"/>
      <c r="RDQ29" s="133"/>
      <c r="RDR29" s="133"/>
      <c r="RDS29" s="133"/>
      <c r="RDT29" s="133"/>
      <c r="RDU29" s="133"/>
      <c r="RDV29" s="133"/>
      <c r="RDW29" s="133"/>
      <c r="RDX29" s="133"/>
      <c r="RDY29" s="133"/>
      <c r="RDZ29" s="133"/>
      <c r="REA29" s="133"/>
      <c r="REB29" s="133"/>
      <c r="REC29" s="133"/>
      <c r="RED29" s="133"/>
      <c r="REE29" s="133"/>
      <c r="REF29" s="133"/>
      <c r="REG29" s="133"/>
      <c r="REH29" s="133"/>
      <c r="REI29" s="133"/>
      <c r="REJ29" s="133"/>
      <c r="REK29" s="133"/>
      <c r="REL29" s="133"/>
      <c r="REM29" s="133"/>
      <c r="REN29" s="133"/>
      <c r="REO29" s="133"/>
      <c r="REP29" s="133"/>
      <c r="REQ29" s="133"/>
      <c r="RER29" s="133"/>
      <c r="RES29" s="133"/>
      <c r="RET29" s="133"/>
      <c r="REU29" s="133"/>
      <c r="REV29" s="133"/>
      <c r="REW29" s="133"/>
      <c r="REX29" s="133"/>
      <c r="REY29" s="133"/>
      <c r="REZ29" s="133"/>
      <c r="RFA29" s="133"/>
      <c r="RFB29" s="133"/>
      <c r="RFC29" s="133"/>
      <c r="RFD29" s="133"/>
      <c r="RFE29" s="133"/>
      <c r="RFF29" s="133"/>
      <c r="RFG29" s="133"/>
      <c r="RFH29" s="133"/>
      <c r="RFI29" s="133"/>
      <c r="RFJ29" s="133"/>
      <c r="RFK29" s="133"/>
      <c r="RFL29" s="133"/>
      <c r="RFM29" s="133"/>
      <c r="RFN29" s="133"/>
      <c r="RFO29" s="133"/>
      <c r="RFP29" s="133"/>
      <c r="RFQ29" s="133"/>
      <c r="RFR29" s="133"/>
      <c r="RFS29" s="133"/>
      <c r="RFT29" s="133"/>
      <c r="RFU29" s="133"/>
      <c r="RFV29" s="133"/>
      <c r="RFW29" s="133"/>
      <c r="RFX29" s="133"/>
      <c r="RFY29" s="133"/>
      <c r="RFZ29" s="133"/>
      <c r="RGA29" s="133"/>
      <c r="RGB29" s="133"/>
      <c r="RGC29" s="133"/>
      <c r="RGD29" s="133"/>
      <c r="RGE29" s="133"/>
      <c r="RGF29" s="133"/>
      <c r="RGG29" s="133"/>
      <c r="RGH29" s="133"/>
      <c r="RGI29" s="133"/>
      <c r="RGJ29" s="133"/>
      <c r="RGK29" s="133"/>
      <c r="RGL29" s="133"/>
      <c r="RGM29" s="133"/>
      <c r="RGN29" s="133"/>
      <c r="RGO29" s="133"/>
      <c r="RGP29" s="133"/>
      <c r="RGQ29" s="133"/>
      <c r="RGR29" s="133"/>
      <c r="RGS29" s="133"/>
      <c r="RGT29" s="133"/>
      <c r="RGU29" s="133"/>
      <c r="RGV29" s="133"/>
      <c r="RGW29" s="133"/>
      <c r="RGX29" s="133"/>
      <c r="RGY29" s="133"/>
      <c r="RGZ29" s="133"/>
      <c r="RHA29" s="133"/>
      <c r="RHB29" s="133"/>
      <c r="RHC29" s="133"/>
      <c r="RHD29" s="133"/>
      <c r="RHE29" s="133"/>
      <c r="RHF29" s="133"/>
      <c r="RHG29" s="133"/>
      <c r="RHH29" s="133"/>
      <c r="RHI29" s="133"/>
      <c r="RHJ29" s="133"/>
      <c r="RHK29" s="133"/>
      <c r="RHL29" s="133"/>
      <c r="RHM29" s="133"/>
      <c r="RHN29" s="133"/>
      <c r="RHO29" s="133"/>
      <c r="RHP29" s="133"/>
      <c r="RHQ29" s="133"/>
      <c r="RHR29" s="133"/>
      <c r="RHS29" s="133"/>
      <c r="RHT29" s="133"/>
      <c r="RHU29" s="133"/>
      <c r="RHV29" s="133"/>
      <c r="RHW29" s="133"/>
      <c r="RHX29" s="133"/>
      <c r="RHY29" s="133"/>
      <c r="RHZ29" s="133"/>
      <c r="RIA29" s="133"/>
      <c r="RIB29" s="133"/>
      <c r="RIC29" s="133"/>
      <c r="RID29" s="133"/>
      <c r="RIE29" s="133"/>
      <c r="RIF29" s="133"/>
      <c r="RIG29" s="133"/>
      <c r="RIH29" s="133"/>
      <c r="RII29" s="133"/>
      <c r="RIJ29" s="133"/>
      <c r="RIK29" s="133"/>
      <c r="RIL29" s="133"/>
      <c r="RIM29" s="133"/>
      <c r="RIN29" s="133"/>
      <c r="RIO29" s="133"/>
      <c r="RIP29" s="133"/>
      <c r="RIQ29" s="133"/>
      <c r="RIR29" s="133"/>
      <c r="RIS29" s="133"/>
      <c r="RIT29" s="133"/>
      <c r="RIU29" s="133"/>
      <c r="RIV29" s="133"/>
      <c r="RIW29" s="133"/>
      <c r="RIX29" s="133"/>
      <c r="RIY29" s="133"/>
      <c r="RIZ29" s="133"/>
      <c r="RJA29" s="133"/>
      <c r="RJB29" s="133"/>
      <c r="RJC29" s="133"/>
      <c r="RJD29" s="133"/>
      <c r="RJE29" s="133"/>
      <c r="RJF29" s="133"/>
      <c r="RJG29" s="133"/>
      <c r="RJH29" s="133"/>
      <c r="RJI29" s="133"/>
      <c r="RJJ29" s="133"/>
      <c r="RJK29" s="133"/>
      <c r="RJL29" s="133"/>
      <c r="RJM29" s="133"/>
      <c r="RJN29" s="133"/>
      <c r="RJO29" s="133"/>
      <c r="RJP29" s="133"/>
      <c r="RJQ29" s="133"/>
      <c r="RJR29" s="133"/>
      <c r="RJS29" s="133"/>
      <c r="RJT29" s="133"/>
      <c r="RJU29" s="133"/>
      <c r="RJV29" s="133"/>
      <c r="RJW29" s="133"/>
      <c r="RJX29" s="133"/>
      <c r="RJY29" s="133"/>
      <c r="RJZ29" s="133"/>
      <c r="RKA29" s="133"/>
      <c r="RKB29" s="133"/>
      <c r="RKC29" s="133"/>
      <c r="RKD29" s="133"/>
      <c r="RKE29" s="133"/>
      <c r="RKF29" s="133"/>
      <c r="RKG29" s="133"/>
      <c r="RKH29" s="133"/>
      <c r="RKI29" s="133"/>
      <c r="RKJ29" s="133"/>
      <c r="RKK29" s="133"/>
      <c r="RKL29" s="133"/>
      <c r="RKM29" s="133"/>
      <c r="RKN29" s="133"/>
      <c r="RKO29" s="133"/>
      <c r="RKP29" s="133"/>
      <c r="RKQ29" s="133"/>
      <c r="RKR29" s="133"/>
      <c r="RKS29" s="133"/>
      <c r="RKT29" s="133"/>
      <c r="RKU29" s="133"/>
      <c r="RKV29" s="133"/>
      <c r="RKW29" s="133"/>
      <c r="RKX29" s="133"/>
      <c r="RKY29" s="133"/>
      <c r="RKZ29" s="133"/>
      <c r="RLA29" s="133"/>
      <c r="RLB29" s="133"/>
      <c r="RLC29" s="133"/>
      <c r="RLD29" s="133"/>
      <c r="RLE29" s="133"/>
      <c r="RLF29" s="133"/>
      <c r="RLG29" s="133"/>
      <c r="RLH29" s="133"/>
      <c r="RLI29" s="133"/>
      <c r="RLJ29" s="133"/>
      <c r="RLK29" s="133"/>
      <c r="RLL29" s="133"/>
      <c r="RLM29" s="133"/>
      <c r="RLN29" s="133"/>
      <c r="RLO29" s="133"/>
      <c r="RLP29" s="133"/>
      <c r="RLQ29" s="133"/>
      <c r="RLR29" s="133"/>
      <c r="RLS29" s="133"/>
      <c r="RLT29" s="133"/>
      <c r="RLU29" s="133"/>
      <c r="RLV29" s="133"/>
      <c r="RLW29" s="133"/>
      <c r="RLX29" s="133"/>
      <c r="RLY29" s="133"/>
      <c r="RLZ29" s="133"/>
      <c r="RMA29" s="133"/>
      <c r="RMB29" s="133"/>
      <c r="RMC29" s="133"/>
      <c r="RMD29" s="133"/>
      <c r="RME29" s="133"/>
      <c r="RMF29" s="133"/>
      <c r="RMG29" s="133"/>
      <c r="RMH29" s="133"/>
      <c r="RMI29" s="133"/>
      <c r="RMJ29" s="133"/>
      <c r="RMK29" s="133"/>
      <c r="RML29" s="133"/>
      <c r="RMM29" s="133"/>
      <c r="RMN29" s="133"/>
      <c r="RMO29" s="133"/>
      <c r="RMP29" s="133"/>
      <c r="RMQ29" s="133"/>
      <c r="RMR29" s="133"/>
      <c r="RMS29" s="133"/>
      <c r="RMT29" s="133"/>
      <c r="RMU29" s="133"/>
      <c r="RMV29" s="133"/>
      <c r="RMW29" s="133"/>
      <c r="RMX29" s="133"/>
      <c r="RMY29" s="133"/>
      <c r="RMZ29" s="133"/>
      <c r="RNA29" s="133"/>
      <c r="RNB29" s="133"/>
      <c r="RNC29" s="133"/>
      <c r="RND29" s="133"/>
      <c r="RNE29" s="133"/>
      <c r="RNF29" s="133"/>
      <c r="RNG29" s="133"/>
      <c r="RNH29" s="133"/>
      <c r="RNI29" s="133"/>
      <c r="RNJ29" s="133"/>
      <c r="RNK29" s="133"/>
      <c r="RNL29" s="133"/>
      <c r="RNM29" s="133"/>
      <c r="RNN29" s="133"/>
      <c r="RNO29" s="133"/>
      <c r="RNP29" s="133"/>
      <c r="RNQ29" s="133"/>
      <c r="RNR29" s="133"/>
      <c r="RNS29" s="133"/>
      <c r="RNT29" s="133"/>
      <c r="RNU29" s="133"/>
      <c r="RNV29" s="133"/>
      <c r="RNW29" s="133"/>
      <c r="RNX29" s="133"/>
      <c r="RNY29" s="133"/>
      <c r="RNZ29" s="133"/>
      <c r="ROA29" s="133"/>
      <c r="ROB29" s="133"/>
      <c r="ROC29" s="133"/>
      <c r="ROD29" s="133"/>
      <c r="ROE29" s="133"/>
      <c r="ROF29" s="133"/>
      <c r="ROG29" s="133"/>
      <c r="ROH29" s="133"/>
      <c r="ROI29" s="133"/>
      <c r="ROJ29" s="133"/>
      <c r="ROK29" s="133"/>
      <c r="ROL29" s="133"/>
      <c r="ROM29" s="133"/>
      <c r="RON29" s="133"/>
      <c r="ROO29" s="133"/>
      <c r="ROP29" s="133"/>
      <c r="ROQ29" s="133"/>
      <c r="ROR29" s="133"/>
      <c r="ROS29" s="133"/>
      <c r="ROT29" s="133"/>
      <c r="ROU29" s="133"/>
      <c r="ROV29" s="133"/>
      <c r="ROW29" s="133"/>
      <c r="ROX29" s="133"/>
      <c r="ROY29" s="133"/>
      <c r="ROZ29" s="133"/>
      <c r="RPA29" s="133"/>
      <c r="RPB29" s="133"/>
      <c r="RPC29" s="133"/>
      <c r="RPD29" s="133"/>
      <c r="RPE29" s="133"/>
      <c r="RPF29" s="133"/>
      <c r="RPG29" s="133"/>
      <c r="RPH29" s="133"/>
      <c r="RPI29" s="133"/>
      <c r="RPJ29" s="133"/>
      <c r="RPK29" s="133"/>
      <c r="RPL29" s="133"/>
      <c r="RPM29" s="133"/>
      <c r="RPN29" s="133"/>
      <c r="RPO29" s="133"/>
      <c r="RPP29" s="133"/>
      <c r="RPQ29" s="133"/>
      <c r="RPR29" s="133"/>
      <c r="RPS29" s="133"/>
      <c r="RPT29" s="133"/>
      <c r="RPU29" s="133"/>
      <c r="RPV29" s="133"/>
      <c r="RPW29" s="133"/>
      <c r="RPX29" s="133"/>
      <c r="RPY29" s="133"/>
      <c r="RPZ29" s="133"/>
      <c r="RQA29" s="133"/>
      <c r="RQB29" s="133"/>
      <c r="RQC29" s="133"/>
      <c r="RQD29" s="133"/>
      <c r="RQE29" s="133"/>
      <c r="RQF29" s="133"/>
      <c r="RQG29" s="133"/>
      <c r="RQH29" s="133"/>
      <c r="RQI29" s="133"/>
      <c r="RQJ29" s="133"/>
      <c r="RQK29" s="133"/>
      <c r="RQL29" s="133"/>
      <c r="RQM29" s="133"/>
      <c r="RQN29" s="133"/>
      <c r="RQO29" s="133"/>
      <c r="RQP29" s="133"/>
      <c r="RQQ29" s="133"/>
      <c r="RQR29" s="133"/>
      <c r="RQS29" s="133"/>
      <c r="RQT29" s="133"/>
      <c r="RQU29" s="133"/>
      <c r="RQV29" s="133"/>
      <c r="RQW29" s="133"/>
      <c r="RQX29" s="133"/>
      <c r="RQY29" s="133"/>
      <c r="RQZ29" s="133"/>
      <c r="RRA29" s="133"/>
      <c r="RRB29" s="133"/>
      <c r="RRC29" s="133"/>
      <c r="RRD29" s="133"/>
      <c r="RRE29" s="133"/>
      <c r="RRF29" s="133"/>
      <c r="RRG29" s="133"/>
      <c r="RRH29" s="133"/>
      <c r="RRI29" s="133"/>
      <c r="RRJ29" s="133"/>
      <c r="RRK29" s="133"/>
      <c r="RRL29" s="133"/>
      <c r="RRM29" s="133"/>
      <c r="RRN29" s="133"/>
      <c r="RRO29" s="133"/>
      <c r="RRP29" s="133"/>
      <c r="RRQ29" s="133"/>
      <c r="RRR29" s="133"/>
      <c r="RRS29" s="133"/>
      <c r="RRT29" s="133"/>
      <c r="RRU29" s="133"/>
      <c r="RRV29" s="133"/>
      <c r="RRW29" s="133"/>
      <c r="RRX29" s="133"/>
      <c r="RRY29" s="133"/>
      <c r="RRZ29" s="133"/>
      <c r="RSA29" s="133"/>
      <c r="RSB29" s="133"/>
      <c r="RSC29" s="133"/>
      <c r="RSD29" s="133"/>
      <c r="RSE29" s="133"/>
      <c r="RSF29" s="133"/>
      <c r="RSG29" s="133"/>
      <c r="RSH29" s="133"/>
      <c r="RSI29" s="133"/>
      <c r="RSJ29" s="133"/>
      <c r="RSK29" s="133"/>
      <c r="RSL29" s="133"/>
      <c r="RSM29" s="133"/>
      <c r="RSN29" s="133"/>
      <c r="RSO29" s="133"/>
      <c r="RSP29" s="133"/>
      <c r="RSQ29" s="133"/>
      <c r="RSR29" s="133"/>
      <c r="RSS29" s="133"/>
      <c r="RST29" s="133"/>
      <c r="RSU29" s="133"/>
      <c r="RSV29" s="133"/>
      <c r="RSW29" s="133"/>
      <c r="RSX29" s="133"/>
      <c r="RSY29" s="133"/>
      <c r="RSZ29" s="133"/>
      <c r="RTA29" s="133"/>
      <c r="RTB29" s="133"/>
      <c r="RTC29" s="133"/>
      <c r="RTD29" s="133"/>
      <c r="RTE29" s="133"/>
      <c r="RTF29" s="133"/>
      <c r="RTG29" s="133"/>
      <c r="RTH29" s="133"/>
      <c r="RTI29" s="133"/>
      <c r="RTJ29" s="133"/>
      <c r="RTK29" s="133"/>
      <c r="RTL29" s="133"/>
      <c r="RTM29" s="133"/>
      <c r="RTN29" s="133"/>
      <c r="RTO29" s="133"/>
      <c r="RTP29" s="133"/>
      <c r="RTQ29" s="133"/>
      <c r="RTR29" s="133"/>
      <c r="RTS29" s="133"/>
      <c r="RTT29" s="133"/>
      <c r="RTU29" s="133"/>
      <c r="RTV29" s="133"/>
      <c r="RTW29" s="133"/>
      <c r="RTX29" s="133"/>
      <c r="RTY29" s="133"/>
      <c r="RTZ29" s="133"/>
      <c r="RUA29" s="133"/>
      <c r="RUB29" s="133"/>
      <c r="RUC29" s="133"/>
      <c r="RUD29" s="133"/>
      <c r="RUE29" s="133"/>
      <c r="RUF29" s="133"/>
      <c r="RUG29" s="133"/>
      <c r="RUH29" s="133"/>
      <c r="RUI29" s="133"/>
      <c r="RUJ29" s="133"/>
      <c r="RUK29" s="133"/>
      <c r="RUL29" s="133"/>
      <c r="RUM29" s="133"/>
      <c r="RUN29" s="133"/>
      <c r="RUO29" s="133"/>
      <c r="RUP29" s="133"/>
      <c r="RUQ29" s="133"/>
      <c r="RUR29" s="133"/>
      <c r="RUS29" s="133"/>
      <c r="RUT29" s="133"/>
      <c r="RUU29" s="133"/>
      <c r="RUV29" s="133"/>
      <c r="RUW29" s="133"/>
      <c r="RUX29" s="133"/>
      <c r="RUY29" s="133"/>
      <c r="RUZ29" s="133"/>
      <c r="RVA29" s="133"/>
      <c r="RVB29" s="133"/>
      <c r="RVC29" s="133"/>
      <c r="RVD29" s="133"/>
      <c r="RVE29" s="133"/>
      <c r="RVF29" s="133"/>
      <c r="RVG29" s="133"/>
      <c r="RVH29" s="133"/>
      <c r="RVI29" s="133"/>
      <c r="RVJ29" s="133"/>
      <c r="RVK29" s="133"/>
      <c r="RVL29" s="133"/>
      <c r="RVM29" s="133"/>
      <c r="RVN29" s="133"/>
      <c r="RVO29" s="133"/>
      <c r="RVP29" s="133"/>
      <c r="RVQ29" s="133"/>
      <c r="RVR29" s="133"/>
      <c r="RVS29" s="133"/>
      <c r="RVT29" s="133"/>
      <c r="RVU29" s="133"/>
      <c r="RVV29" s="133"/>
      <c r="RVW29" s="133"/>
      <c r="RVX29" s="133"/>
      <c r="RVY29" s="133"/>
      <c r="RVZ29" s="133"/>
      <c r="RWA29" s="133"/>
      <c r="RWB29" s="133"/>
      <c r="RWC29" s="133"/>
      <c r="RWD29" s="133"/>
      <c r="RWE29" s="133"/>
      <c r="RWF29" s="133"/>
      <c r="RWG29" s="133"/>
      <c r="RWH29" s="133"/>
      <c r="RWI29" s="133"/>
      <c r="RWJ29" s="133"/>
      <c r="RWK29" s="133"/>
      <c r="RWL29" s="133"/>
      <c r="RWM29" s="133"/>
      <c r="RWN29" s="133"/>
      <c r="RWO29" s="133"/>
      <c r="RWP29" s="133"/>
      <c r="RWQ29" s="133"/>
      <c r="RWR29" s="133"/>
      <c r="RWS29" s="133"/>
      <c r="RWT29" s="133"/>
      <c r="RWU29" s="133"/>
      <c r="RWV29" s="133"/>
      <c r="RWW29" s="133"/>
      <c r="RWX29" s="133"/>
      <c r="RWY29" s="133"/>
      <c r="RWZ29" s="133"/>
      <c r="RXA29" s="133"/>
      <c r="RXB29" s="133"/>
      <c r="RXC29" s="133"/>
      <c r="RXD29" s="133"/>
      <c r="RXE29" s="133"/>
      <c r="RXF29" s="133"/>
      <c r="RXG29" s="133"/>
      <c r="RXH29" s="133"/>
      <c r="RXI29" s="133"/>
      <c r="RXJ29" s="133"/>
      <c r="RXK29" s="133"/>
      <c r="RXL29" s="133"/>
      <c r="RXM29" s="133"/>
      <c r="RXN29" s="133"/>
      <c r="RXO29" s="133"/>
      <c r="RXP29" s="133"/>
      <c r="RXQ29" s="133"/>
      <c r="RXR29" s="133"/>
      <c r="RXS29" s="133"/>
      <c r="RXT29" s="133"/>
      <c r="RXU29" s="133"/>
      <c r="RXV29" s="133"/>
      <c r="RXW29" s="133"/>
      <c r="RXX29" s="133"/>
      <c r="RXY29" s="133"/>
      <c r="RXZ29" s="133"/>
      <c r="RYA29" s="133"/>
      <c r="RYB29" s="133"/>
      <c r="RYC29" s="133"/>
      <c r="RYD29" s="133"/>
      <c r="RYE29" s="133"/>
      <c r="RYF29" s="133"/>
      <c r="RYG29" s="133"/>
      <c r="RYH29" s="133"/>
      <c r="RYI29" s="133"/>
      <c r="RYJ29" s="133"/>
      <c r="RYK29" s="133"/>
      <c r="RYL29" s="133"/>
      <c r="RYM29" s="133"/>
      <c r="RYN29" s="133"/>
      <c r="RYO29" s="133"/>
      <c r="RYP29" s="133"/>
      <c r="RYQ29" s="133"/>
      <c r="RYR29" s="133"/>
      <c r="RYS29" s="133"/>
      <c r="RYT29" s="133"/>
      <c r="RYU29" s="133"/>
      <c r="RYV29" s="133"/>
      <c r="RYW29" s="133"/>
      <c r="RYX29" s="133"/>
      <c r="RYY29" s="133"/>
      <c r="RYZ29" s="133"/>
      <c r="RZA29" s="133"/>
      <c r="RZB29" s="133"/>
      <c r="RZC29" s="133"/>
      <c r="RZD29" s="133"/>
      <c r="RZE29" s="133"/>
      <c r="RZF29" s="133"/>
      <c r="RZG29" s="133"/>
      <c r="RZH29" s="133"/>
      <c r="RZI29" s="133"/>
      <c r="RZJ29" s="133"/>
      <c r="RZK29" s="133"/>
      <c r="RZL29" s="133"/>
      <c r="RZM29" s="133"/>
      <c r="RZN29" s="133"/>
      <c r="RZO29" s="133"/>
      <c r="RZP29" s="133"/>
      <c r="RZQ29" s="133"/>
      <c r="RZR29" s="133"/>
      <c r="RZS29" s="133"/>
      <c r="RZT29" s="133"/>
      <c r="RZU29" s="133"/>
      <c r="RZV29" s="133"/>
      <c r="RZW29" s="133"/>
      <c r="RZX29" s="133"/>
      <c r="RZY29" s="133"/>
      <c r="RZZ29" s="133"/>
      <c r="SAA29" s="133"/>
      <c r="SAB29" s="133"/>
      <c r="SAC29" s="133"/>
      <c r="SAD29" s="133"/>
      <c r="SAE29" s="133"/>
      <c r="SAF29" s="133"/>
      <c r="SAG29" s="133"/>
      <c r="SAH29" s="133"/>
      <c r="SAI29" s="133"/>
      <c r="SAJ29" s="133"/>
      <c r="SAK29" s="133"/>
      <c r="SAL29" s="133"/>
      <c r="SAM29" s="133"/>
      <c r="SAN29" s="133"/>
      <c r="SAO29" s="133"/>
      <c r="SAP29" s="133"/>
      <c r="SAQ29" s="133"/>
      <c r="SAR29" s="133"/>
      <c r="SAS29" s="133"/>
      <c r="SAT29" s="133"/>
      <c r="SAU29" s="133"/>
      <c r="SAV29" s="133"/>
      <c r="SAW29" s="133"/>
      <c r="SAX29" s="133"/>
      <c r="SAY29" s="133"/>
      <c r="SAZ29" s="133"/>
      <c r="SBA29" s="133"/>
      <c r="SBB29" s="133"/>
      <c r="SBC29" s="133"/>
      <c r="SBD29" s="133"/>
      <c r="SBE29" s="133"/>
      <c r="SBF29" s="133"/>
      <c r="SBG29" s="133"/>
      <c r="SBH29" s="133"/>
      <c r="SBI29" s="133"/>
      <c r="SBJ29" s="133"/>
      <c r="SBK29" s="133"/>
      <c r="SBL29" s="133"/>
      <c r="SBM29" s="133"/>
      <c r="SBN29" s="133"/>
      <c r="SBO29" s="133"/>
      <c r="SBP29" s="133"/>
      <c r="SBQ29" s="133"/>
      <c r="SBR29" s="133"/>
      <c r="SBS29" s="133"/>
      <c r="SBT29" s="133"/>
      <c r="SBU29" s="133"/>
      <c r="SBV29" s="133"/>
      <c r="SBW29" s="133"/>
      <c r="SBX29" s="133"/>
      <c r="SBY29" s="133"/>
      <c r="SBZ29" s="133"/>
      <c r="SCA29" s="133"/>
      <c r="SCB29" s="133"/>
      <c r="SCC29" s="133"/>
      <c r="SCD29" s="133"/>
      <c r="SCE29" s="133"/>
      <c r="SCF29" s="133"/>
      <c r="SCG29" s="133"/>
      <c r="SCH29" s="133"/>
      <c r="SCI29" s="133"/>
      <c r="SCJ29" s="133"/>
      <c r="SCK29" s="133"/>
      <c r="SCL29" s="133"/>
      <c r="SCM29" s="133"/>
      <c r="SCN29" s="133"/>
      <c r="SCO29" s="133"/>
      <c r="SCP29" s="133"/>
      <c r="SCQ29" s="133"/>
      <c r="SCR29" s="133"/>
      <c r="SCS29" s="133"/>
      <c r="SCT29" s="133"/>
      <c r="SCU29" s="133"/>
      <c r="SCV29" s="133"/>
      <c r="SCW29" s="133"/>
      <c r="SCX29" s="133"/>
      <c r="SCY29" s="133"/>
      <c r="SCZ29" s="133"/>
      <c r="SDA29" s="133"/>
      <c r="SDB29" s="133"/>
      <c r="SDC29" s="133"/>
      <c r="SDD29" s="133"/>
      <c r="SDE29" s="133"/>
      <c r="SDF29" s="133"/>
      <c r="SDG29" s="133"/>
      <c r="SDH29" s="133"/>
      <c r="SDI29" s="133"/>
      <c r="SDJ29" s="133"/>
      <c r="SDK29" s="133"/>
      <c r="SDL29" s="133"/>
      <c r="SDM29" s="133"/>
      <c r="SDN29" s="133"/>
      <c r="SDO29" s="133"/>
      <c r="SDP29" s="133"/>
      <c r="SDQ29" s="133"/>
      <c r="SDR29" s="133"/>
      <c r="SDS29" s="133"/>
      <c r="SDT29" s="133"/>
      <c r="SDU29" s="133"/>
      <c r="SDV29" s="133"/>
      <c r="SDW29" s="133"/>
      <c r="SDX29" s="133"/>
      <c r="SDY29" s="133"/>
      <c r="SDZ29" s="133"/>
      <c r="SEA29" s="133"/>
      <c r="SEB29" s="133"/>
      <c r="SEC29" s="133"/>
      <c r="SED29" s="133"/>
      <c r="SEE29" s="133"/>
      <c r="SEF29" s="133"/>
      <c r="SEG29" s="133"/>
      <c r="SEH29" s="133"/>
      <c r="SEI29" s="133"/>
      <c r="SEJ29" s="133"/>
      <c r="SEK29" s="133"/>
      <c r="SEL29" s="133"/>
      <c r="SEM29" s="133"/>
      <c r="SEN29" s="133"/>
      <c r="SEO29" s="133"/>
      <c r="SEP29" s="133"/>
      <c r="SEQ29" s="133"/>
      <c r="SER29" s="133"/>
      <c r="SES29" s="133"/>
      <c r="SET29" s="133"/>
      <c r="SEU29" s="133"/>
      <c r="SEV29" s="133"/>
      <c r="SEW29" s="133"/>
      <c r="SEX29" s="133"/>
      <c r="SEY29" s="133"/>
      <c r="SEZ29" s="133"/>
      <c r="SFA29" s="133"/>
      <c r="SFB29" s="133"/>
      <c r="SFC29" s="133"/>
      <c r="SFD29" s="133"/>
      <c r="SFE29" s="133"/>
      <c r="SFF29" s="133"/>
      <c r="SFG29" s="133"/>
      <c r="SFH29" s="133"/>
      <c r="SFI29" s="133"/>
      <c r="SFJ29" s="133"/>
      <c r="SFK29" s="133"/>
      <c r="SFL29" s="133"/>
      <c r="SFM29" s="133"/>
      <c r="SFN29" s="133"/>
      <c r="SFO29" s="133"/>
      <c r="SFP29" s="133"/>
      <c r="SFQ29" s="133"/>
      <c r="SFR29" s="133"/>
      <c r="SFS29" s="133"/>
      <c r="SFT29" s="133"/>
      <c r="SFU29" s="133"/>
      <c r="SFV29" s="133"/>
      <c r="SFW29" s="133"/>
      <c r="SFX29" s="133"/>
      <c r="SFY29" s="133"/>
      <c r="SFZ29" s="133"/>
      <c r="SGA29" s="133"/>
      <c r="SGB29" s="133"/>
      <c r="SGC29" s="133"/>
      <c r="SGD29" s="133"/>
      <c r="SGE29" s="133"/>
      <c r="SGF29" s="133"/>
      <c r="SGG29" s="133"/>
      <c r="SGH29" s="133"/>
      <c r="SGI29" s="133"/>
      <c r="SGJ29" s="133"/>
      <c r="SGK29" s="133"/>
      <c r="SGL29" s="133"/>
      <c r="SGM29" s="133"/>
      <c r="SGN29" s="133"/>
      <c r="SGO29" s="133"/>
      <c r="SGP29" s="133"/>
      <c r="SGQ29" s="133"/>
      <c r="SGR29" s="133"/>
      <c r="SGS29" s="133"/>
      <c r="SGT29" s="133"/>
      <c r="SGU29" s="133"/>
      <c r="SGV29" s="133"/>
      <c r="SGW29" s="133"/>
      <c r="SGX29" s="133"/>
      <c r="SGY29" s="133"/>
      <c r="SGZ29" s="133"/>
      <c r="SHA29" s="133"/>
      <c r="SHB29" s="133"/>
      <c r="SHC29" s="133"/>
      <c r="SHD29" s="133"/>
      <c r="SHE29" s="133"/>
      <c r="SHF29" s="133"/>
      <c r="SHG29" s="133"/>
      <c r="SHH29" s="133"/>
      <c r="SHI29" s="133"/>
      <c r="SHJ29" s="133"/>
      <c r="SHK29" s="133"/>
      <c r="SHL29" s="133"/>
      <c r="SHM29" s="133"/>
      <c r="SHN29" s="133"/>
      <c r="SHO29" s="133"/>
      <c r="SHP29" s="133"/>
      <c r="SHQ29" s="133"/>
      <c r="SHR29" s="133"/>
      <c r="SHS29" s="133"/>
      <c r="SHT29" s="133"/>
      <c r="SHU29" s="133"/>
      <c r="SHV29" s="133"/>
      <c r="SHW29" s="133"/>
      <c r="SHX29" s="133"/>
      <c r="SHY29" s="133"/>
      <c r="SHZ29" s="133"/>
      <c r="SIA29" s="133"/>
      <c r="SIB29" s="133"/>
      <c r="SIC29" s="133"/>
      <c r="SID29" s="133"/>
      <c r="SIE29" s="133"/>
      <c r="SIF29" s="133"/>
      <c r="SIG29" s="133"/>
      <c r="SIH29" s="133"/>
      <c r="SII29" s="133"/>
      <c r="SIJ29" s="133"/>
      <c r="SIK29" s="133"/>
      <c r="SIL29" s="133"/>
      <c r="SIM29" s="133"/>
      <c r="SIN29" s="133"/>
      <c r="SIO29" s="133"/>
      <c r="SIP29" s="133"/>
      <c r="SIQ29" s="133"/>
      <c r="SIR29" s="133"/>
      <c r="SIS29" s="133"/>
      <c r="SIT29" s="133"/>
      <c r="SIU29" s="133"/>
      <c r="SIV29" s="133"/>
      <c r="SIW29" s="133"/>
      <c r="SIX29" s="133"/>
      <c r="SIY29" s="133"/>
      <c r="SIZ29" s="133"/>
      <c r="SJA29" s="133"/>
      <c r="SJB29" s="133"/>
      <c r="SJC29" s="133"/>
      <c r="SJD29" s="133"/>
      <c r="SJE29" s="133"/>
      <c r="SJF29" s="133"/>
      <c r="SJG29" s="133"/>
      <c r="SJH29" s="133"/>
      <c r="SJI29" s="133"/>
      <c r="SJJ29" s="133"/>
      <c r="SJK29" s="133"/>
      <c r="SJL29" s="133"/>
      <c r="SJM29" s="133"/>
      <c r="SJN29" s="133"/>
      <c r="SJO29" s="133"/>
      <c r="SJP29" s="133"/>
      <c r="SJQ29" s="133"/>
      <c r="SJR29" s="133"/>
      <c r="SJS29" s="133"/>
      <c r="SJT29" s="133"/>
      <c r="SJU29" s="133"/>
      <c r="SJV29" s="133"/>
      <c r="SJW29" s="133"/>
      <c r="SJX29" s="133"/>
      <c r="SJY29" s="133"/>
      <c r="SJZ29" s="133"/>
      <c r="SKA29" s="133"/>
      <c r="SKB29" s="133"/>
      <c r="SKC29" s="133"/>
      <c r="SKD29" s="133"/>
      <c r="SKE29" s="133"/>
      <c r="SKF29" s="133"/>
      <c r="SKG29" s="133"/>
      <c r="SKH29" s="133"/>
      <c r="SKI29" s="133"/>
      <c r="SKJ29" s="133"/>
      <c r="SKK29" s="133"/>
      <c r="SKL29" s="133"/>
      <c r="SKM29" s="133"/>
      <c r="SKN29" s="133"/>
      <c r="SKO29" s="133"/>
      <c r="SKP29" s="133"/>
      <c r="SKQ29" s="133"/>
      <c r="SKR29" s="133"/>
      <c r="SKS29" s="133"/>
      <c r="SKT29" s="133"/>
      <c r="SKU29" s="133"/>
      <c r="SKV29" s="133"/>
      <c r="SKW29" s="133"/>
      <c r="SKX29" s="133"/>
      <c r="SKY29" s="133"/>
      <c r="SKZ29" s="133"/>
      <c r="SLA29" s="133"/>
      <c r="SLB29" s="133"/>
      <c r="SLC29" s="133"/>
      <c r="SLD29" s="133"/>
      <c r="SLE29" s="133"/>
      <c r="SLF29" s="133"/>
      <c r="SLG29" s="133"/>
      <c r="SLH29" s="133"/>
      <c r="SLI29" s="133"/>
      <c r="SLJ29" s="133"/>
      <c r="SLK29" s="133"/>
      <c r="SLL29" s="133"/>
      <c r="SLM29" s="133"/>
      <c r="SLN29" s="133"/>
      <c r="SLO29" s="133"/>
      <c r="SLP29" s="133"/>
      <c r="SLQ29" s="133"/>
      <c r="SLR29" s="133"/>
      <c r="SLS29" s="133"/>
      <c r="SLT29" s="133"/>
      <c r="SLU29" s="133"/>
      <c r="SLV29" s="133"/>
      <c r="SLW29" s="133"/>
      <c r="SLX29" s="133"/>
      <c r="SLY29" s="133"/>
      <c r="SLZ29" s="133"/>
      <c r="SMA29" s="133"/>
      <c r="SMB29" s="133"/>
      <c r="SMC29" s="133"/>
      <c r="SMD29" s="133"/>
      <c r="SME29" s="133"/>
      <c r="SMF29" s="133"/>
      <c r="SMG29" s="133"/>
      <c r="SMH29" s="133"/>
      <c r="SMI29" s="133"/>
      <c r="SMJ29" s="133"/>
      <c r="SMK29" s="133"/>
      <c r="SML29" s="133"/>
      <c r="SMM29" s="133"/>
      <c r="SMN29" s="133"/>
      <c r="SMO29" s="133"/>
      <c r="SMP29" s="133"/>
      <c r="SMQ29" s="133"/>
      <c r="SMR29" s="133"/>
      <c r="SMS29" s="133"/>
      <c r="SMT29" s="133"/>
      <c r="SMU29" s="133"/>
      <c r="SMV29" s="133"/>
      <c r="SMW29" s="133"/>
      <c r="SMX29" s="133"/>
      <c r="SMY29" s="133"/>
      <c r="SMZ29" s="133"/>
      <c r="SNA29" s="133"/>
      <c r="SNB29" s="133"/>
      <c r="SNC29" s="133"/>
      <c r="SND29" s="133"/>
      <c r="SNE29" s="133"/>
      <c r="SNF29" s="133"/>
      <c r="SNG29" s="133"/>
      <c r="SNH29" s="133"/>
      <c r="SNI29" s="133"/>
      <c r="SNJ29" s="133"/>
      <c r="SNK29" s="133"/>
      <c r="SNL29" s="133"/>
      <c r="SNM29" s="133"/>
      <c r="SNN29" s="133"/>
      <c r="SNO29" s="133"/>
      <c r="SNP29" s="133"/>
      <c r="SNQ29" s="133"/>
      <c r="SNR29" s="133"/>
      <c r="SNS29" s="133"/>
      <c r="SNT29" s="133"/>
      <c r="SNU29" s="133"/>
      <c r="SNV29" s="133"/>
      <c r="SNW29" s="133"/>
      <c r="SNX29" s="133"/>
      <c r="SNY29" s="133"/>
      <c r="SNZ29" s="133"/>
      <c r="SOA29" s="133"/>
      <c r="SOB29" s="133"/>
      <c r="SOC29" s="133"/>
      <c r="SOD29" s="133"/>
      <c r="SOE29" s="133"/>
      <c r="SOF29" s="133"/>
      <c r="SOG29" s="133"/>
      <c r="SOH29" s="133"/>
      <c r="SOI29" s="133"/>
      <c r="SOJ29" s="133"/>
      <c r="SOK29" s="133"/>
      <c r="SOL29" s="133"/>
      <c r="SOM29" s="133"/>
      <c r="SON29" s="133"/>
      <c r="SOO29" s="133"/>
      <c r="SOP29" s="133"/>
      <c r="SOQ29" s="133"/>
      <c r="SOR29" s="133"/>
      <c r="SOS29" s="133"/>
      <c r="SOT29" s="133"/>
      <c r="SOU29" s="133"/>
      <c r="SOV29" s="133"/>
      <c r="SOW29" s="133"/>
      <c r="SOX29" s="133"/>
      <c r="SOY29" s="133"/>
      <c r="SOZ29" s="133"/>
      <c r="SPA29" s="133"/>
      <c r="SPB29" s="133"/>
      <c r="SPC29" s="133"/>
      <c r="SPD29" s="133"/>
      <c r="SPE29" s="133"/>
      <c r="SPF29" s="133"/>
      <c r="SPG29" s="133"/>
      <c r="SPH29" s="133"/>
      <c r="SPI29" s="133"/>
      <c r="SPJ29" s="133"/>
      <c r="SPK29" s="133"/>
      <c r="SPL29" s="133"/>
      <c r="SPM29" s="133"/>
      <c r="SPN29" s="133"/>
      <c r="SPO29" s="133"/>
      <c r="SPP29" s="133"/>
      <c r="SPQ29" s="133"/>
      <c r="SPR29" s="133"/>
      <c r="SPS29" s="133"/>
      <c r="SPT29" s="133"/>
      <c r="SPU29" s="133"/>
      <c r="SPV29" s="133"/>
      <c r="SPW29" s="133"/>
      <c r="SPX29" s="133"/>
      <c r="SPY29" s="133"/>
      <c r="SPZ29" s="133"/>
      <c r="SQA29" s="133"/>
      <c r="SQB29" s="133"/>
      <c r="SQC29" s="133"/>
      <c r="SQD29" s="133"/>
      <c r="SQE29" s="133"/>
      <c r="SQF29" s="133"/>
      <c r="SQG29" s="133"/>
      <c r="SQH29" s="133"/>
      <c r="SQI29" s="133"/>
      <c r="SQJ29" s="133"/>
      <c r="SQK29" s="133"/>
      <c r="SQL29" s="133"/>
      <c r="SQM29" s="133"/>
      <c r="SQN29" s="133"/>
      <c r="SQO29" s="133"/>
      <c r="SQP29" s="133"/>
      <c r="SQQ29" s="133"/>
      <c r="SQR29" s="133"/>
      <c r="SQS29" s="133"/>
      <c r="SQT29" s="133"/>
      <c r="SQU29" s="133"/>
      <c r="SQV29" s="133"/>
      <c r="SQW29" s="133"/>
      <c r="SQX29" s="133"/>
      <c r="SQY29" s="133"/>
      <c r="SQZ29" s="133"/>
      <c r="SRA29" s="133"/>
      <c r="SRB29" s="133"/>
      <c r="SRC29" s="133"/>
      <c r="SRD29" s="133"/>
      <c r="SRE29" s="133"/>
      <c r="SRF29" s="133"/>
      <c r="SRG29" s="133"/>
      <c r="SRH29" s="133"/>
      <c r="SRI29" s="133"/>
      <c r="SRJ29" s="133"/>
      <c r="SRK29" s="133"/>
      <c r="SRL29" s="133"/>
      <c r="SRM29" s="133"/>
      <c r="SRN29" s="133"/>
      <c r="SRO29" s="133"/>
      <c r="SRP29" s="133"/>
      <c r="SRQ29" s="133"/>
      <c r="SRR29" s="133"/>
      <c r="SRS29" s="133"/>
      <c r="SRT29" s="133"/>
      <c r="SRU29" s="133"/>
      <c r="SRV29" s="133"/>
      <c r="SRW29" s="133"/>
      <c r="SRX29" s="133"/>
      <c r="SRY29" s="133"/>
      <c r="SRZ29" s="133"/>
      <c r="SSA29" s="133"/>
      <c r="SSB29" s="133"/>
      <c r="SSC29" s="133"/>
      <c r="SSD29" s="133"/>
      <c r="SSE29" s="133"/>
      <c r="SSF29" s="133"/>
      <c r="SSG29" s="133"/>
      <c r="SSH29" s="133"/>
      <c r="SSI29" s="133"/>
      <c r="SSJ29" s="133"/>
      <c r="SSK29" s="133"/>
      <c r="SSL29" s="133"/>
      <c r="SSM29" s="133"/>
      <c r="SSN29" s="133"/>
      <c r="SSO29" s="133"/>
      <c r="SSP29" s="133"/>
      <c r="SSQ29" s="133"/>
      <c r="SSR29" s="133"/>
      <c r="SSS29" s="133"/>
      <c r="SST29" s="133"/>
      <c r="SSU29" s="133"/>
      <c r="SSV29" s="133"/>
      <c r="SSW29" s="133"/>
      <c r="SSX29" s="133"/>
      <c r="SSY29" s="133"/>
      <c r="SSZ29" s="133"/>
      <c r="STA29" s="133"/>
      <c r="STB29" s="133"/>
      <c r="STC29" s="133"/>
      <c r="STD29" s="133"/>
      <c r="STE29" s="133"/>
      <c r="STF29" s="133"/>
      <c r="STG29" s="133"/>
      <c r="STH29" s="133"/>
      <c r="STI29" s="133"/>
      <c r="STJ29" s="133"/>
      <c r="STK29" s="133"/>
      <c r="STL29" s="133"/>
      <c r="STM29" s="133"/>
      <c r="STN29" s="133"/>
      <c r="STO29" s="133"/>
      <c r="STP29" s="133"/>
      <c r="STQ29" s="133"/>
      <c r="STR29" s="133"/>
      <c r="STS29" s="133"/>
      <c r="STT29" s="133"/>
      <c r="STU29" s="133"/>
      <c r="STV29" s="133"/>
      <c r="STW29" s="133"/>
      <c r="STX29" s="133"/>
      <c r="STY29" s="133"/>
      <c r="STZ29" s="133"/>
      <c r="SUA29" s="133"/>
      <c r="SUB29" s="133"/>
      <c r="SUC29" s="133"/>
      <c r="SUD29" s="133"/>
      <c r="SUE29" s="133"/>
      <c r="SUF29" s="133"/>
      <c r="SUG29" s="133"/>
      <c r="SUH29" s="133"/>
      <c r="SUI29" s="133"/>
      <c r="SUJ29" s="133"/>
      <c r="SUK29" s="133"/>
      <c r="SUL29" s="133"/>
      <c r="SUM29" s="133"/>
      <c r="SUN29" s="133"/>
      <c r="SUO29" s="133"/>
      <c r="SUP29" s="133"/>
      <c r="SUQ29" s="133"/>
      <c r="SUR29" s="133"/>
      <c r="SUS29" s="133"/>
      <c r="SUT29" s="133"/>
      <c r="SUU29" s="133"/>
      <c r="SUV29" s="133"/>
      <c r="SUW29" s="133"/>
      <c r="SUX29" s="133"/>
      <c r="SUY29" s="133"/>
      <c r="SUZ29" s="133"/>
      <c r="SVA29" s="133"/>
      <c r="SVB29" s="133"/>
      <c r="SVC29" s="133"/>
      <c r="SVD29" s="133"/>
      <c r="SVE29" s="133"/>
      <c r="SVF29" s="133"/>
      <c r="SVG29" s="133"/>
      <c r="SVH29" s="133"/>
      <c r="SVI29" s="133"/>
      <c r="SVJ29" s="133"/>
      <c r="SVK29" s="133"/>
      <c r="SVL29" s="133"/>
      <c r="SVM29" s="133"/>
      <c r="SVN29" s="133"/>
      <c r="SVO29" s="133"/>
      <c r="SVP29" s="133"/>
      <c r="SVQ29" s="133"/>
      <c r="SVR29" s="133"/>
      <c r="SVS29" s="133"/>
      <c r="SVT29" s="133"/>
      <c r="SVU29" s="133"/>
      <c r="SVV29" s="133"/>
      <c r="SVW29" s="133"/>
      <c r="SVX29" s="133"/>
      <c r="SVY29" s="133"/>
      <c r="SVZ29" s="133"/>
      <c r="SWA29" s="133"/>
      <c r="SWB29" s="133"/>
      <c r="SWC29" s="133"/>
      <c r="SWD29" s="133"/>
      <c r="SWE29" s="133"/>
      <c r="SWF29" s="133"/>
      <c r="SWG29" s="133"/>
      <c r="SWH29" s="133"/>
      <c r="SWI29" s="133"/>
      <c r="SWJ29" s="133"/>
      <c r="SWK29" s="133"/>
      <c r="SWL29" s="133"/>
      <c r="SWM29" s="133"/>
      <c r="SWN29" s="133"/>
      <c r="SWO29" s="133"/>
      <c r="SWP29" s="133"/>
      <c r="SWQ29" s="133"/>
      <c r="SWR29" s="133"/>
      <c r="SWS29" s="133"/>
      <c r="SWT29" s="133"/>
      <c r="SWU29" s="133"/>
      <c r="SWV29" s="133"/>
      <c r="SWW29" s="133"/>
      <c r="SWX29" s="133"/>
      <c r="SWY29" s="133"/>
      <c r="SWZ29" s="133"/>
      <c r="SXA29" s="133"/>
      <c r="SXB29" s="133"/>
      <c r="SXC29" s="133"/>
      <c r="SXD29" s="133"/>
      <c r="SXE29" s="133"/>
      <c r="SXF29" s="133"/>
      <c r="SXG29" s="133"/>
      <c r="SXH29" s="133"/>
      <c r="SXI29" s="133"/>
      <c r="SXJ29" s="133"/>
      <c r="SXK29" s="133"/>
      <c r="SXL29" s="133"/>
      <c r="SXM29" s="133"/>
      <c r="SXN29" s="133"/>
      <c r="SXO29" s="133"/>
      <c r="SXP29" s="133"/>
      <c r="SXQ29" s="133"/>
      <c r="SXR29" s="133"/>
      <c r="SXS29" s="133"/>
      <c r="SXT29" s="133"/>
      <c r="SXU29" s="133"/>
      <c r="SXV29" s="133"/>
      <c r="SXW29" s="133"/>
      <c r="SXX29" s="133"/>
      <c r="SXY29" s="133"/>
      <c r="SXZ29" s="133"/>
      <c r="SYA29" s="133"/>
      <c r="SYB29" s="133"/>
      <c r="SYC29" s="133"/>
      <c r="SYD29" s="133"/>
      <c r="SYE29" s="133"/>
      <c r="SYF29" s="133"/>
      <c r="SYG29" s="133"/>
      <c r="SYH29" s="133"/>
      <c r="SYI29" s="133"/>
      <c r="SYJ29" s="133"/>
      <c r="SYK29" s="133"/>
      <c r="SYL29" s="133"/>
      <c r="SYM29" s="133"/>
      <c r="SYN29" s="133"/>
      <c r="SYO29" s="133"/>
      <c r="SYP29" s="133"/>
      <c r="SYQ29" s="133"/>
      <c r="SYR29" s="133"/>
      <c r="SYS29" s="133"/>
      <c r="SYT29" s="133"/>
      <c r="SYU29" s="133"/>
      <c r="SYV29" s="133"/>
      <c r="SYW29" s="133"/>
      <c r="SYX29" s="133"/>
      <c r="SYY29" s="133"/>
      <c r="SYZ29" s="133"/>
      <c r="SZA29" s="133"/>
      <c r="SZB29" s="133"/>
      <c r="SZC29" s="133"/>
      <c r="SZD29" s="133"/>
      <c r="SZE29" s="133"/>
      <c r="SZF29" s="133"/>
      <c r="SZG29" s="133"/>
      <c r="SZH29" s="133"/>
      <c r="SZI29" s="133"/>
      <c r="SZJ29" s="133"/>
      <c r="SZK29" s="133"/>
      <c r="SZL29" s="133"/>
      <c r="SZM29" s="133"/>
      <c r="SZN29" s="133"/>
      <c r="SZO29" s="133"/>
      <c r="SZP29" s="133"/>
      <c r="SZQ29" s="133"/>
      <c r="SZR29" s="133"/>
      <c r="SZS29" s="133"/>
      <c r="SZT29" s="133"/>
      <c r="SZU29" s="133"/>
      <c r="SZV29" s="133"/>
      <c r="SZW29" s="133"/>
      <c r="SZX29" s="133"/>
      <c r="SZY29" s="133"/>
      <c r="SZZ29" s="133"/>
      <c r="TAA29" s="133"/>
      <c r="TAB29" s="133"/>
      <c r="TAC29" s="133"/>
      <c r="TAD29" s="133"/>
      <c r="TAE29" s="133"/>
      <c r="TAF29" s="133"/>
      <c r="TAG29" s="133"/>
      <c r="TAH29" s="133"/>
      <c r="TAI29" s="133"/>
      <c r="TAJ29" s="133"/>
      <c r="TAK29" s="133"/>
      <c r="TAL29" s="133"/>
      <c r="TAM29" s="133"/>
      <c r="TAN29" s="133"/>
      <c r="TAO29" s="133"/>
      <c r="TAP29" s="133"/>
      <c r="TAQ29" s="133"/>
      <c r="TAR29" s="133"/>
      <c r="TAS29" s="133"/>
      <c r="TAT29" s="133"/>
      <c r="TAU29" s="133"/>
      <c r="TAV29" s="133"/>
      <c r="TAW29" s="133"/>
      <c r="TAX29" s="133"/>
      <c r="TAY29" s="133"/>
      <c r="TAZ29" s="133"/>
      <c r="TBA29" s="133"/>
      <c r="TBB29" s="133"/>
      <c r="TBC29" s="133"/>
      <c r="TBD29" s="133"/>
      <c r="TBE29" s="133"/>
      <c r="TBF29" s="133"/>
      <c r="TBG29" s="133"/>
      <c r="TBH29" s="133"/>
      <c r="TBI29" s="133"/>
      <c r="TBJ29" s="133"/>
      <c r="TBK29" s="133"/>
      <c r="TBL29" s="133"/>
      <c r="TBM29" s="133"/>
      <c r="TBN29" s="133"/>
      <c r="TBO29" s="133"/>
      <c r="TBP29" s="133"/>
      <c r="TBQ29" s="133"/>
      <c r="TBR29" s="133"/>
      <c r="TBS29" s="133"/>
      <c r="TBT29" s="133"/>
      <c r="TBU29" s="133"/>
      <c r="TBV29" s="133"/>
      <c r="TBW29" s="133"/>
      <c r="TBX29" s="133"/>
      <c r="TBY29" s="133"/>
      <c r="TBZ29" s="133"/>
      <c r="TCA29" s="133"/>
      <c r="TCB29" s="133"/>
      <c r="TCC29" s="133"/>
      <c r="TCD29" s="133"/>
      <c r="TCE29" s="133"/>
      <c r="TCF29" s="133"/>
      <c r="TCG29" s="133"/>
      <c r="TCH29" s="133"/>
      <c r="TCI29" s="133"/>
      <c r="TCJ29" s="133"/>
      <c r="TCK29" s="133"/>
      <c r="TCL29" s="133"/>
      <c r="TCM29" s="133"/>
      <c r="TCN29" s="133"/>
      <c r="TCO29" s="133"/>
      <c r="TCP29" s="133"/>
      <c r="TCQ29" s="133"/>
      <c r="TCR29" s="133"/>
      <c r="TCS29" s="133"/>
      <c r="TCT29" s="133"/>
      <c r="TCU29" s="133"/>
      <c r="TCV29" s="133"/>
      <c r="TCW29" s="133"/>
      <c r="TCX29" s="133"/>
      <c r="TCY29" s="133"/>
      <c r="TCZ29" s="133"/>
      <c r="TDA29" s="133"/>
      <c r="TDB29" s="133"/>
      <c r="TDC29" s="133"/>
      <c r="TDD29" s="133"/>
      <c r="TDE29" s="133"/>
      <c r="TDF29" s="133"/>
      <c r="TDG29" s="133"/>
      <c r="TDH29" s="133"/>
      <c r="TDI29" s="133"/>
      <c r="TDJ29" s="133"/>
      <c r="TDK29" s="133"/>
      <c r="TDL29" s="133"/>
      <c r="TDM29" s="133"/>
      <c r="TDN29" s="133"/>
      <c r="TDO29" s="133"/>
      <c r="TDP29" s="133"/>
      <c r="TDQ29" s="133"/>
      <c r="TDR29" s="133"/>
      <c r="TDS29" s="133"/>
      <c r="TDT29" s="133"/>
      <c r="TDU29" s="133"/>
      <c r="TDV29" s="133"/>
      <c r="TDW29" s="133"/>
      <c r="TDX29" s="133"/>
      <c r="TDY29" s="133"/>
      <c r="TDZ29" s="133"/>
      <c r="TEA29" s="133"/>
      <c r="TEB29" s="133"/>
      <c r="TEC29" s="133"/>
      <c r="TED29" s="133"/>
      <c r="TEE29" s="133"/>
      <c r="TEF29" s="133"/>
      <c r="TEG29" s="133"/>
      <c r="TEH29" s="133"/>
      <c r="TEI29" s="133"/>
      <c r="TEJ29" s="133"/>
      <c r="TEK29" s="133"/>
      <c r="TEL29" s="133"/>
      <c r="TEM29" s="133"/>
      <c r="TEN29" s="133"/>
      <c r="TEO29" s="133"/>
      <c r="TEP29" s="133"/>
      <c r="TEQ29" s="133"/>
      <c r="TER29" s="133"/>
      <c r="TES29" s="133"/>
      <c r="TET29" s="133"/>
      <c r="TEU29" s="133"/>
      <c r="TEV29" s="133"/>
      <c r="TEW29" s="133"/>
      <c r="TEX29" s="133"/>
      <c r="TEY29" s="133"/>
      <c r="TEZ29" s="133"/>
      <c r="TFA29" s="133"/>
      <c r="TFB29" s="133"/>
      <c r="TFC29" s="133"/>
      <c r="TFD29" s="133"/>
      <c r="TFE29" s="133"/>
      <c r="TFF29" s="133"/>
      <c r="TFG29" s="133"/>
      <c r="TFH29" s="133"/>
      <c r="TFI29" s="133"/>
      <c r="TFJ29" s="133"/>
      <c r="TFK29" s="133"/>
      <c r="TFL29" s="133"/>
      <c r="TFM29" s="133"/>
      <c r="TFN29" s="133"/>
      <c r="TFO29" s="133"/>
      <c r="TFP29" s="133"/>
      <c r="TFQ29" s="133"/>
      <c r="TFR29" s="133"/>
      <c r="TFS29" s="133"/>
      <c r="TFT29" s="133"/>
      <c r="TFU29" s="133"/>
      <c r="TFV29" s="133"/>
      <c r="TFW29" s="133"/>
      <c r="TFX29" s="133"/>
      <c r="TFY29" s="133"/>
      <c r="TFZ29" s="133"/>
      <c r="TGA29" s="133"/>
      <c r="TGB29" s="133"/>
      <c r="TGC29" s="133"/>
      <c r="TGD29" s="133"/>
      <c r="TGE29" s="133"/>
      <c r="TGF29" s="133"/>
      <c r="TGG29" s="133"/>
      <c r="TGH29" s="133"/>
      <c r="TGI29" s="133"/>
      <c r="TGJ29" s="133"/>
      <c r="TGK29" s="133"/>
      <c r="TGL29" s="133"/>
      <c r="TGM29" s="133"/>
      <c r="TGN29" s="133"/>
      <c r="TGO29" s="133"/>
      <c r="TGP29" s="133"/>
      <c r="TGQ29" s="133"/>
      <c r="TGR29" s="133"/>
      <c r="TGS29" s="133"/>
      <c r="TGT29" s="133"/>
      <c r="TGU29" s="133"/>
      <c r="TGV29" s="133"/>
      <c r="TGW29" s="133"/>
      <c r="TGX29" s="133"/>
      <c r="TGY29" s="133"/>
      <c r="TGZ29" s="133"/>
      <c r="THA29" s="133"/>
      <c r="THB29" s="133"/>
      <c r="THC29" s="133"/>
      <c r="THD29" s="133"/>
      <c r="THE29" s="133"/>
      <c r="THF29" s="133"/>
      <c r="THG29" s="133"/>
      <c r="THH29" s="133"/>
      <c r="THI29" s="133"/>
      <c r="THJ29" s="133"/>
      <c r="THK29" s="133"/>
      <c r="THL29" s="133"/>
      <c r="THM29" s="133"/>
      <c r="THN29" s="133"/>
      <c r="THO29" s="133"/>
      <c r="THP29" s="133"/>
      <c r="THQ29" s="133"/>
      <c r="THR29" s="133"/>
      <c r="THS29" s="133"/>
      <c r="THT29" s="133"/>
      <c r="THU29" s="133"/>
      <c r="THV29" s="133"/>
      <c r="THW29" s="133"/>
      <c r="THX29" s="133"/>
      <c r="THY29" s="133"/>
      <c r="THZ29" s="133"/>
      <c r="TIA29" s="133"/>
      <c r="TIB29" s="133"/>
      <c r="TIC29" s="133"/>
      <c r="TID29" s="133"/>
      <c r="TIE29" s="133"/>
      <c r="TIF29" s="133"/>
      <c r="TIG29" s="133"/>
      <c r="TIH29" s="133"/>
      <c r="TII29" s="133"/>
      <c r="TIJ29" s="133"/>
      <c r="TIK29" s="133"/>
      <c r="TIL29" s="133"/>
      <c r="TIM29" s="133"/>
      <c r="TIN29" s="133"/>
      <c r="TIO29" s="133"/>
      <c r="TIP29" s="133"/>
      <c r="TIQ29" s="133"/>
      <c r="TIR29" s="133"/>
      <c r="TIS29" s="133"/>
      <c r="TIT29" s="133"/>
      <c r="TIU29" s="133"/>
      <c r="TIV29" s="133"/>
      <c r="TIW29" s="133"/>
      <c r="TIX29" s="133"/>
      <c r="TIY29" s="133"/>
      <c r="TIZ29" s="133"/>
      <c r="TJA29" s="133"/>
      <c r="TJB29" s="133"/>
      <c r="TJC29" s="133"/>
      <c r="TJD29" s="133"/>
      <c r="TJE29" s="133"/>
      <c r="TJF29" s="133"/>
      <c r="TJG29" s="133"/>
      <c r="TJH29" s="133"/>
      <c r="TJI29" s="133"/>
      <c r="TJJ29" s="133"/>
      <c r="TJK29" s="133"/>
      <c r="TJL29" s="133"/>
      <c r="TJM29" s="133"/>
      <c r="TJN29" s="133"/>
      <c r="TJO29" s="133"/>
      <c r="TJP29" s="133"/>
      <c r="TJQ29" s="133"/>
      <c r="TJR29" s="133"/>
      <c r="TJS29" s="133"/>
      <c r="TJT29" s="133"/>
      <c r="TJU29" s="133"/>
      <c r="TJV29" s="133"/>
      <c r="TJW29" s="133"/>
      <c r="TJX29" s="133"/>
      <c r="TJY29" s="133"/>
      <c r="TJZ29" s="133"/>
      <c r="TKA29" s="133"/>
      <c r="TKB29" s="133"/>
      <c r="TKC29" s="133"/>
      <c r="TKD29" s="133"/>
      <c r="TKE29" s="133"/>
      <c r="TKF29" s="133"/>
      <c r="TKG29" s="133"/>
      <c r="TKH29" s="133"/>
      <c r="TKI29" s="133"/>
      <c r="TKJ29" s="133"/>
      <c r="TKK29" s="133"/>
      <c r="TKL29" s="133"/>
      <c r="TKM29" s="133"/>
      <c r="TKN29" s="133"/>
      <c r="TKO29" s="133"/>
      <c r="TKP29" s="133"/>
      <c r="TKQ29" s="133"/>
      <c r="TKR29" s="133"/>
      <c r="TKS29" s="133"/>
      <c r="TKT29" s="133"/>
      <c r="TKU29" s="133"/>
      <c r="TKV29" s="133"/>
      <c r="TKW29" s="133"/>
      <c r="TKX29" s="133"/>
      <c r="TKY29" s="133"/>
      <c r="TKZ29" s="133"/>
      <c r="TLA29" s="133"/>
      <c r="TLB29" s="133"/>
      <c r="TLC29" s="133"/>
      <c r="TLD29" s="133"/>
      <c r="TLE29" s="133"/>
      <c r="TLF29" s="133"/>
      <c r="TLG29" s="133"/>
      <c r="TLH29" s="133"/>
      <c r="TLI29" s="133"/>
      <c r="TLJ29" s="133"/>
      <c r="TLK29" s="133"/>
      <c r="TLL29" s="133"/>
      <c r="TLM29" s="133"/>
      <c r="TLN29" s="133"/>
      <c r="TLO29" s="133"/>
      <c r="TLP29" s="133"/>
      <c r="TLQ29" s="133"/>
      <c r="TLR29" s="133"/>
      <c r="TLS29" s="133"/>
      <c r="TLT29" s="133"/>
      <c r="TLU29" s="133"/>
      <c r="TLV29" s="133"/>
      <c r="TLW29" s="133"/>
      <c r="TLX29" s="133"/>
      <c r="TLY29" s="133"/>
      <c r="TLZ29" s="133"/>
      <c r="TMA29" s="133"/>
      <c r="TMB29" s="133"/>
      <c r="TMC29" s="133"/>
      <c r="TMD29" s="133"/>
      <c r="TME29" s="133"/>
      <c r="TMF29" s="133"/>
      <c r="TMG29" s="133"/>
      <c r="TMH29" s="133"/>
      <c r="TMI29" s="133"/>
      <c r="TMJ29" s="133"/>
      <c r="TMK29" s="133"/>
      <c r="TML29" s="133"/>
      <c r="TMM29" s="133"/>
      <c r="TMN29" s="133"/>
      <c r="TMO29" s="133"/>
      <c r="TMP29" s="133"/>
      <c r="TMQ29" s="133"/>
      <c r="TMR29" s="133"/>
      <c r="TMS29" s="133"/>
      <c r="TMT29" s="133"/>
      <c r="TMU29" s="133"/>
      <c r="TMV29" s="133"/>
      <c r="TMW29" s="133"/>
      <c r="TMX29" s="133"/>
      <c r="TMY29" s="133"/>
      <c r="TMZ29" s="133"/>
      <c r="TNA29" s="133"/>
      <c r="TNB29" s="133"/>
      <c r="TNC29" s="133"/>
      <c r="TND29" s="133"/>
      <c r="TNE29" s="133"/>
      <c r="TNF29" s="133"/>
      <c r="TNG29" s="133"/>
      <c r="TNH29" s="133"/>
      <c r="TNI29" s="133"/>
      <c r="TNJ29" s="133"/>
      <c r="TNK29" s="133"/>
      <c r="TNL29" s="133"/>
      <c r="TNM29" s="133"/>
      <c r="TNN29" s="133"/>
      <c r="TNO29" s="133"/>
      <c r="TNP29" s="133"/>
      <c r="TNQ29" s="133"/>
      <c r="TNR29" s="133"/>
      <c r="TNS29" s="133"/>
      <c r="TNT29" s="133"/>
      <c r="TNU29" s="133"/>
      <c r="TNV29" s="133"/>
      <c r="TNW29" s="133"/>
      <c r="TNX29" s="133"/>
      <c r="TNY29" s="133"/>
      <c r="TNZ29" s="133"/>
      <c r="TOA29" s="133"/>
      <c r="TOB29" s="133"/>
      <c r="TOC29" s="133"/>
      <c r="TOD29" s="133"/>
      <c r="TOE29" s="133"/>
      <c r="TOF29" s="133"/>
      <c r="TOG29" s="133"/>
      <c r="TOH29" s="133"/>
      <c r="TOI29" s="133"/>
      <c r="TOJ29" s="133"/>
      <c r="TOK29" s="133"/>
      <c r="TOL29" s="133"/>
      <c r="TOM29" s="133"/>
      <c r="TON29" s="133"/>
      <c r="TOO29" s="133"/>
      <c r="TOP29" s="133"/>
      <c r="TOQ29" s="133"/>
      <c r="TOR29" s="133"/>
      <c r="TOS29" s="133"/>
      <c r="TOT29" s="133"/>
      <c r="TOU29" s="133"/>
      <c r="TOV29" s="133"/>
      <c r="TOW29" s="133"/>
      <c r="TOX29" s="133"/>
      <c r="TOY29" s="133"/>
      <c r="TOZ29" s="133"/>
      <c r="TPA29" s="133"/>
      <c r="TPB29" s="133"/>
      <c r="TPC29" s="133"/>
      <c r="TPD29" s="133"/>
      <c r="TPE29" s="133"/>
      <c r="TPF29" s="133"/>
      <c r="TPG29" s="133"/>
      <c r="TPH29" s="133"/>
      <c r="TPI29" s="133"/>
      <c r="TPJ29" s="133"/>
      <c r="TPK29" s="133"/>
      <c r="TPL29" s="133"/>
      <c r="TPM29" s="133"/>
      <c r="TPN29" s="133"/>
      <c r="TPO29" s="133"/>
      <c r="TPP29" s="133"/>
      <c r="TPQ29" s="133"/>
      <c r="TPR29" s="133"/>
      <c r="TPS29" s="133"/>
      <c r="TPT29" s="133"/>
      <c r="TPU29" s="133"/>
      <c r="TPV29" s="133"/>
      <c r="TPW29" s="133"/>
      <c r="TPX29" s="133"/>
      <c r="TPY29" s="133"/>
      <c r="TPZ29" s="133"/>
      <c r="TQA29" s="133"/>
      <c r="TQB29" s="133"/>
      <c r="TQC29" s="133"/>
      <c r="TQD29" s="133"/>
      <c r="TQE29" s="133"/>
      <c r="TQF29" s="133"/>
      <c r="TQG29" s="133"/>
      <c r="TQH29" s="133"/>
      <c r="TQI29" s="133"/>
      <c r="TQJ29" s="133"/>
      <c r="TQK29" s="133"/>
      <c r="TQL29" s="133"/>
      <c r="TQM29" s="133"/>
      <c r="TQN29" s="133"/>
      <c r="TQO29" s="133"/>
      <c r="TQP29" s="133"/>
      <c r="TQQ29" s="133"/>
      <c r="TQR29" s="133"/>
      <c r="TQS29" s="133"/>
      <c r="TQT29" s="133"/>
      <c r="TQU29" s="133"/>
      <c r="TQV29" s="133"/>
      <c r="TQW29" s="133"/>
      <c r="TQX29" s="133"/>
      <c r="TQY29" s="133"/>
      <c r="TQZ29" s="133"/>
      <c r="TRA29" s="133"/>
      <c r="TRB29" s="133"/>
      <c r="TRC29" s="133"/>
      <c r="TRD29" s="133"/>
      <c r="TRE29" s="133"/>
      <c r="TRF29" s="133"/>
      <c r="TRG29" s="133"/>
      <c r="TRH29" s="133"/>
      <c r="TRI29" s="133"/>
      <c r="TRJ29" s="133"/>
      <c r="TRK29" s="133"/>
      <c r="TRL29" s="133"/>
      <c r="TRM29" s="133"/>
      <c r="TRN29" s="133"/>
      <c r="TRO29" s="133"/>
      <c r="TRP29" s="133"/>
      <c r="TRQ29" s="133"/>
      <c r="TRR29" s="133"/>
      <c r="TRS29" s="133"/>
      <c r="TRT29" s="133"/>
      <c r="TRU29" s="133"/>
      <c r="TRV29" s="133"/>
      <c r="TRW29" s="133"/>
      <c r="TRX29" s="133"/>
      <c r="TRY29" s="133"/>
      <c r="TRZ29" s="133"/>
      <c r="TSA29" s="133"/>
      <c r="TSB29" s="133"/>
      <c r="TSC29" s="133"/>
      <c r="TSD29" s="133"/>
      <c r="TSE29" s="133"/>
      <c r="TSF29" s="133"/>
      <c r="TSG29" s="133"/>
      <c r="TSH29" s="133"/>
      <c r="TSI29" s="133"/>
      <c r="TSJ29" s="133"/>
      <c r="TSK29" s="133"/>
      <c r="TSL29" s="133"/>
      <c r="TSM29" s="133"/>
      <c r="TSN29" s="133"/>
      <c r="TSO29" s="133"/>
      <c r="TSP29" s="133"/>
      <c r="TSQ29" s="133"/>
      <c r="TSR29" s="133"/>
      <c r="TSS29" s="133"/>
      <c r="TST29" s="133"/>
      <c r="TSU29" s="133"/>
      <c r="TSV29" s="133"/>
      <c r="TSW29" s="133"/>
      <c r="TSX29" s="133"/>
      <c r="TSY29" s="133"/>
      <c r="TSZ29" s="133"/>
      <c r="TTA29" s="133"/>
      <c r="TTB29" s="133"/>
      <c r="TTC29" s="133"/>
      <c r="TTD29" s="133"/>
      <c r="TTE29" s="133"/>
      <c r="TTF29" s="133"/>
      <c r="TTG29" s="133"/>
      <c r="TTH29" s="133"/>
      <c r="TTI29" s="133"/>
      <c r="TTJ29" s="133"/>
      <c r="TTK29" s="133"/>
      <c r="TTL29" s="133"/>
      <c r="TTM29" s="133"/>
      <c r="TTN29" s="133"/>
      <c r="TTO29" s="133"/>
      <c r="TTP29" s="133"/>
      <c r="TTQ29" s="133"/>
      <c r="TTR29" s="133"/>
      <c r="TTS29" s="133"/>
      <c r="TTT29" s="133"/>
      <c r="TTU29" s="133"/>
      <c r="TTV29" s="133"/>
      <c r="TTW29" s="133"/>
      <c r="TTX29" s="133"/>
      <c r="TTY29" s="133"/>
      <c r="TTZ29" s="133"/>
      <c r="TUA29" s="133"/>
      <c r="TUB29" s="133"/>
      <c r="TUC29" s="133"/>
      <c r="TUD29" s="133"/>
      <c r="TUE29" s="133"/>
      <c r="TUF29" s="133"/>
      <c r="TUG29" s="133"/>
      <c r="TUH29" s="133"/>
      <c r="TUI29" s="133"/>
      <c r="TUJ29" s="133"/>
      <c r="TUK29" s="133"/>
      <c r="TUL29" s="133"/>
      <c r="TUM29" s="133"/>
      <c r="TUN29" s="133"/>
      <c r="TUO29" s="133"/>
      <c r="TUP29" s="133"/>
      <c r="TUQ29" s="133"/>
      <c r="TUR29" s="133"/>
      <c r="TUS29" s="133"/>
      <c r="TUT29" s="133"/>
      <c r="TUU29" s="133"/>
      <c r="TUV29" s="133"/>
      <c r="TUW29" s="133"/>
      <c r="TUX29" s="133"/>
      <c r="TUY29" s="133"/>
      <c r="TUZ29" s="133"/>
      <c r="TVA29" s="133"/>
      <c r="TVB29" s="133"/>
      <c r="TVC29" s="133"/>
      <c r="TVD29" s="133"/>
      <c r="TVE29" s="133"/>
      <c r="TVF29" s="133"/>
      <c r="TVG29" s="133"/>
      <c r="TVH29" s="133"/>
      <c r="TVI29" s="133"/>
      <c r="TVJ29" s="133"/>
      <c r="TVK29" s="133"/>
      <c r="TVL29" s="133"/>
      <c r="TVM29" s="133"/>
      <c r="TVN29" s="133"/>
      <c r="TVO29" s="133"/>
      <c r="TVP29" s="133"/>
      <c r="TVQ29" s="133"/>
      <c r="TVR29" s="133"/>
      <c r="TVS29" s="133"/>
      <c r="TVT29" s="133"/>
      <c r="TVU29" s="133"/>
      <c r="TVV29" s="133"/>
      <c r="TVW29" s="133"/>
      <c r="TVX29" s="133"/>
      <c r="TVY29" s="133"/>
      <c r="TVZ29" s="133"/>
      <c r="TWA29" s="133"/>
      <c r="TWB29" s="133"/>
      <c r="TWC29" s="133"/>
      <c r="TWD29" s="133"/>
      <c r="TWE29" s="133"/>
      <c r="TWF29" s="133"/>
      <c r="TWG29" s="133"/>
      <c r="TWH29" s="133"/>
      <c r="TWI29" s="133"/>
      <c r="TWJ29" s="133"/>
      <c r="TWK29" s="133"/>
      <c r="TWL29" s="133"/>
      <c r="TWM29" s="133"/>
      <c r="TWN29" s="133"/>
      <c r="TWO29" s="133"/>
      <c r="TWP29" s="133"/>
      <c r="TWQ29" s="133"/>
      <c r="TWR29" s="133"/>
      <c r="TWS29" s="133"/>
      <c r="TWT29" s="133"/>
      <c r="TWU29" s="133"/>
      <c r="TWV29" s="133"/>
      <c r="TWW29" s="133"/>
      <c r="TWX29" s="133"/>
      <c r="TWY29" s="133"/>
      <c r="TWZ29" s="133"/>
      <c r="TXA29" s="133"/>
      <c r="TXB29" s="133"/>
      <c r="TXC29" s="133"/>
      <c r="TXD29" s="133"/>
      <c r="TXE29" s="133"/>
      <c r="TXF29" s="133"/>
      <c r="TXG29" s="133"/>
      <c r="TXH29" s="133"/>
      <c r="TXI29" s="133"/>
      <c r="TXJ29" s="133"/>
      <c r="TXK29" s="133"/>
      <c r="TXL29" s="133"/>
      <c r="TXM29" s="133"/>
      <c r="TXN29" s="133"/>
      <c r="TXO29" s="133"/>
      <c r="TXP29" s="133"/>
      <c r="TXQ29" s="133"/>
      <c r="TXR29" s="133"/>
      <c r="TXS29" s="133"/>
      <c r="TXT29" s="133"/>
      <c r="TXU29" s="133"/>
      <c r="TXV29" s="133"/>
      <c r="TXW29" s="133"/>
      <c r="TXX29" s="133"/>
      <c r="TXY29" s="133"/>
      <c r="TXZ29" s="133"/>
      <c r="TYA29" s="133"/>
      <c r="TYB29" s="133"/>
      <c r="TYC29" s="133"/>
      <c r="TYD29" s="133"/>
      <c r="TYE29" s="133"/>
      <c r="TYF29" s="133"/>
      <c r="TYG29" s="133"/>
      <c r="TYH29" s="133"/>
      <c r="TYI29" s="133"/>
      <c r="TYJ29" s="133"/>
      <c r="TYK29" s="133"/>
      <c r="TYL29" s="133"/>
      <c r="TYM29" s="133"/>
      <c r="TYN29" s="133"/>
      <c r="TYO29" s="133"/>
      <c r="TYP29" s="133"/>
      <c r="TYQ29" s="133"/>
      <c r="TYR29" s="133"/>
      <c r="TYS29" s="133"/>
      <c r="TYT29" s="133"/>
      <c r="TYU29" s="133"/>
      <c r="TYV29" s="133"/>
      <c r="TYW29" s="133"/>
      <c r="TYX29" s="133"/>
      <c r="TYY29" s="133"/>
      <c r="TYZ29" s="133"/>
      <c r="TZA29" s="133"/>
      <c r="TZB29" s="133"/>
      <c r="TZC29" s="133"/>
      <c r="TZD29" s="133"/>
      <c r="TZE29" s="133"/>
      <c r="TZF29" s="133"/>
      <c r="TZG29" s="133"/>
      <c r="TZH29" s="133"/>
      <c r="TZI29" s="133"/>
      <c r="TZJ29" s="133"/>
      <c r="TZK29" s="133"/>
      <c r="TZL29" s="133"/>
      <c r="TZM29" s="133"/>
      <c r="TZN29" s="133"/>
      <c r="TZO29" s="133"/>
      <c r="TZP29" s="133"/>
      <c r="TZQ29" s="133"/>
      <c r="TZR29" s="133"/>
      <c r="TZS29" s="133"/>
      <c r="TZT29" s="133"/>
      <c r="TZU29" s="133"/>
      <c r="TZV29" s="133"/>
      <c r="TZW29" s="133"/>
      <c r="TZX29" s="133"/>
      <c r="TZY29" s="133"/>
      <c r="TZZ29" s="133"/>
      <c r="UAA29" s="133"/>
      <c r="UAB29" s="133"/>
      <c r="UAC29" s="133"/>
      <c r="UAD29" s="133"/>
      <c r="UAE29" s="133"/>
      <c r="UAF29" s="133"/>
      <c r="UAG29" s="133"/>
      <c r="UAH29" s="133"/>
      <c r="UAI29" s="133"/>
      <c r="UAJ29" s="133"/>
      <c r="UAK29" s="133"/>
      <c r="UAL29" s="133"/>
      <c r="UAM29" s="133"/>
      <c r="UAN29" s="133"/>
      <c r="UAO29" s="133"/>
      <c r="UAP29" s="133"/>
      <c r="UAQ29" s="133"/>
      <c r="UAR29" s="133"/>
      <c r="UAS29" s="133"/>
      <c r="UAT29" s="133"/>
      <c r="UAU29" s="133"/>
      <c r="UAV29" s="133"/>
      <c r="UAW29" s="133"/>
      <c r="UAX29" s="133"/>
      <c r="UAY29" s="133"/>
      <c r="UAZ29" s="133"/>
      <c r="UBA29" s="133"/>
      <c r="UBB29" s="133"/>
      <c r="UBC29" s="133"/>
      <c r="UBD29" s="133"/>
      <c r="UBE29" s="133"/>
      <c r="UBF29" s="133"/>
      <c r="UBG29" s="133"/>
      <c r="UBH29" s="133"/>
      <c r="UBI29" s="133"/>
      <c r="UBJ29" s="133"/>
      <c r="UBK29" s="133"/>
      <c r="UBL29" s="133"/>
      <c r="UBM29" s="133"/>
      <c r="UBN29" s="133"/>
      <c r="UBO29" s="133"/>
      <c r="UBP29" s="133"/>
      <c r="UBQ29" s="133"/>
      <c r="UBR29" s="133"/>
      <c r="UBS29" s="133"/>
      <c r="UBT29" s="133"/>
      <c r="UBU29" s="133"/>
      <c r="UBV29" s="133"/>
      <c r="UBW29" s="133"/>
      <c r="UBX29" s="133"/>
      <c r="UBY29" s="133"/>
      <c r="UBZ29" s="133"/>
      <c r="UCA29" s="133"/>
      <c r="UCB29" s="133"/>
      <c r="UCC29" s="133"/>
      <c r="UCD29" s="133"/>
      <c r="UCE29" s="133"/>
      <c r="UCF29" s="133"/>
      <c r="UCG29" s="133"/>
      <c r="UCH29" s="133"/>
      <c r="UCI29" s="133"/>
      <c r="UCJ29" s="133"/>
      <c r="UCK29" s="133"/>
      <c r="UCL29" s="133"/>
      <c r="UCM29" s="133"/>
      <c r="UCN29" s="133"/>
      <c r="UCO29" s="133"/>
      <c r="UCP29" s="133"/>
      <c r="UCQ29" s="133"/>
      <c r="UCR29" s="133"/>
      <c r="UCS29" s="133"/>
      <c r="UCT29" s="133"/>
      <c r="UCU29" s="133"/>
      <c r="UCV29" s="133"/>
      <c r="UCW29" s="133"/>
      <c r="UCX29" s="133"/>
      <c r="UCY29" s="133"/>
      <c r="UCZ29" s="133"/>
      <c r="UDA29" s="133"/>
      <c r="UDB29" s="133"/>
      <c r="UDC29" s="133"/>
      <c r="UDD29" s="133"/>
      <c r="UDE29" s="133"/>
      <c r="UDF29" s="133"/>
      <c r="UDG29" s="133"/>
      <c r="UDH29" s="133"/>
      <c r="UDI29" s="133"/>
      <c r="UDJ29" s="133"/>
      <c r="UDK29" s="133"/>
      <c r="UDL29" s="133"/>
      <c r="UDM29" s="133"/>
      <c r="UDN29" s="133"/>
      <c r="UDO29" s="133"/>
      <c r="UDP29" s="133"/>
      <c r="UDQ29" s="133"/>
      <c r="UDR29" s="133"/>
      <c r="UDS29" s="133"/>
      <c r="UDT29" s="133"/>
      <c r="UDU29" s="133"/>
      <c r="UDV29" s="133"/>
      <c r="UDW29" s="133"/>
      <c r="UDX29" s="133"/>
      <c r="UDY29" s="133"/>
      <c r="UDZ29" s="133"/>
      <c r="UEA29" s="133"/>
      <c r="UEB29" s="133"/>
      <c r="UEC29" s="133"/>
      <c r="UED29" s="133"/>
      <c r="UEE29" s="133"/>
      <c r="UEF29" s="133"/>
      <c r="UEG29" s="133"/>
      <c r="UEH29" s="133"/>
      <c r="UEI29" s="133"/>
      <c r="UEJ29" s="133"/>
      <c r="UEK29" s="133"/>
      <c r="UEL29" s="133"/>
      <c r="UEM29" s="133"/>
      <c r="UEN29" s="133"/>
      <c r="UEO29" s="133"/>
      <c r="UEP29" s="133"/>
      <c r="UEQ29" s="133"/>
      <c r="UER29" s="133"/>
      <c r="UES29" s="133"/>
      <c r="UET29" s="133"/>
      <c r="UEU29" s="133"/>
      <c r="UEV29" s="133"/>
      <c r="UEW29" s="133"/>
      <c r="UEX29" s="133"/>
      <c r="UEY29" s="133"/>
      <c r="UEZ29" s="133"/>
      <c r="UFA29" s="133"/>
      <c r="UFB29" s="133"/>
      <c r="UFC29" s="133"/>
      <c r="UFD29" s="133"/>
      <c r="UFE29" s="133"/>
      <c r="UFF29" s="133"/>
      <c r="UFG29" s="133"/>
      <c r="UFH29" s="133"/>
      <c r="UFI29" s="133"/>
      <c r="UFJ29" s="133"/>
      <c r="UFK29" s="133"/>
      <c r="UFL29" s="133"/>
      <c r="UFM29" s="133"/>
      <c r="UFN29" s="133"/>
      <c r="UFO29" s="133"/>
      <c r="UFP29" s="133"/>
      <c r="UFQ29" s="133"/>
      <c r="UFR29" s="133"/>
      <c r="UFS29" s="133"/>
      <c r="UFT29" s="133"/>
      <c r="UFU29" s="133"/>
      <c r="UFV29" s="133"/>
      <c r="UFW29" s="133"/>
      <c r="UFX29" s="133"/>
      <c r="UFY29" s="133"/>
      <c r="UFZ29" s="133"/>
      <c r="UGA29" s="133"/>
      <c r="UGB29" s="133"/>
      <c r="UGC29" s="133"/>
      <c r="UGD29" s="133"/>
      <c r="UGE29" s="133"/>
      <c r="UGF29" s="133"/>
      <c r="UGG29" s="133"/>
      <c r="UGH29" s="133"/>
      <c r="UGI29" s="133"/>
      <c r="UGJ29" s="133"/>
      <c r="UGK29" s="133"/>
      <c r="UGL29" s="133"/>
      <c r="UGM29" s="133"/>
      <c r="UGN29" s="133"/>
      <c r="UGO29" s="133"/>
      <c r="UGP29" s="133"/>
      <c r="UGQ29" s="133"/>
      <c r="UGR29" s="133"/>
      <c r="UGS29" s="133"/>
      <c r="UGT29" s="133"/>
      <c r="UGU29" s="133"/>
      <c r="UGV29" s="133"/>
      <c r="UGW29" s="133"/>
      <c r="UGX29" s="133"/>
      <c r="UGY29" s="133"/>
      <c r="UGZ29" s="133"/>
      <c r="UHA29" s="133"/>
      <c r="UHB29" s="133"/>
      <c r="UHC29" s="133"/>
      <c r="UHD29" s="133"/>
      <c r="UHE29" s="133"/>
      <c r="UHF29" s="133"/>
      <c r="UHG29" s="133"/>
      <c r="UHH29" s="133"/>
      <c r="UHI29" s="133"/>
      <c r="UHJ29" s="133"/>
      <c r="UHK29" s="133"/>
      <c r="UHL29" s="133"/>
      <c r="UHM29" s="133"/>
      <c r="UHN29" s="133"/>
      <c r="UHO29" s="133"/>
      <c r="UHP29" s="133"/>
      <c r="UHQ29" s="133"/>
      <c r="UHR29" s="133"/>
      <c r="UHS29" s="133"/>
      <c r="UHT29" s="133"/>
      <c r="UHU29" s="133"/>
      <c r="UHV29" s="133"/>
      <c r="UHW29" s="133"/>
      <c r="UHX29" s="133"/>
      <c r="UHY29" s="133"/>
      <c r="UHZ29" s="133"/>
      <c r="UIA29" s="133"/>
      <c r="UIB29" s="133"/>
      <c r="UIC29" s="133"/>
      <c r="UID29" s="133"/>
      <c r="UIE29" s="133"/>
      <c r="UIF29" s="133"/>
      <c r="UIG29" s="133"/>
      <c r="UIH29" s="133"/>
      <c r="UII29" s="133"/>
      <c r="UIJ29" s="133"/>
      <c r="UIK29" s="133"/>
      <c r="UIL29" s="133"/>
      <c r="UIM29" s="133"/>
      <c r="UIN29" s="133"/>
      <c r="UIO29" s="133"/>
      <c r="UIP29" s="133"/>
      <c r="UIQ29" s="133"/>
      <c r="UIR29" s="133"/>
      <c r="UIS29" s="133"/>
      <c r="UIT29" s="133"/>
      <c r="UIU29" s="133"/>
      <c r="UIV29" s="133"/>
      <c r="UIW29" s="133"/>
      <c r="UIX29" s="133"/>
      <c r="UIY29" s="133"/>
      <c r="UIZ29" s="133"/>
      <c r="UJA29" s="133"/>
      <c r="UJB29" s="133"/>
      <c r="UJC29" s="133"/>
      <c r="UJD29" s="133"/>
      <c r="UJE29" s="133"/>
      <c r="UJF29" s="133"/>
      <c r="UJG29" s="133"/>
      <c r="UJH29" s="133"/>
      <c r="UJI29" s="133"/>
      <c r="UJJ29" s="133"/>
      <c r="UJK29" s="133"/>
      <c r="UJL29" s="133"/>
      <c r="UJM29" s="133"/>
      <c r="UJN29" s="133"/>
      <c r="UJO29" s="133"/>
      <c r="UJP29" s="133"/>
      <c r="UJQ29" s="133"/>
      <c r="UJR29" s="133"/>
      <c r="UJS29" s="133"/>
      <c r="UJT29" s="133"/>
      <c r="UJU29" s="133"/>
      <c r="UJV29" s="133"/>
      <c r="UJW29" s="133"/>
      <c r="UJX29" s="133"/>
      <c r="UJY29" s="133"/>
      <c r="UJZ29" s="133"/>
      <c r="UKA29" s="133"/>
      <c r="UKB29" s="133"/>
      <c r="UKC29" s="133"/>
      <c r="UKD29" s="133"/>
      <c r="UKE29" s="133"/>
      <c r="UKF29" s="133"/>
      <c r="UKG29" s="133"/>
      <c r="UKH29" s="133"/>
      <c r="UKI29" s="133"/>
      <c r="UKJ29" s="133"/>
      <c r="UKK29" s="133"/>
      <c r="UKL29" s="133"/>
      <c r="UKM29" s="133"/>
      <c r="UKN29" s="133"/>
      <c r="UKO29" s="133"/>
      <c r="UKP29" s="133"/>
      <c r="UKQ29" s="133"/>
      <c r="UKR29" s="133"/>
      <c r="UKS29" s="133"/>
      <c r="UKT29" s="133"/>
      <c r="UKU29" s="133"/>
      <c r="UKV29" s="133"/>
      <c r="UKW29" s="133"/>
      <c r="UKX29" s="133"/>
      <c r="UKY29" s="133"/>
      <c r="UKZ29" s="133"/>
      <c r="ULA29" s="133"/>
      <c r="ULB29" s="133"/>
      <c r="ULC29" s="133"/>
      <c r="ULD29" s="133"/>
      <c r="ULE29" s="133"/>
      <c r="ULF29" s="133"/>
      <c r="ULG29" s="133"/>
      <c r="ULH29" s="133"/>
      <c r="ULI29" s="133"/>
      <c r="ULJ29" s="133"/>
      <c r="ULK29" s="133"/>
      <c r="ULL29" s="133"/>
      <c r="ULM29" s="133"/>
      <c r="ULN29" s="133"/>
      <c r="ULO29" s="133"/>
      <c r="ULP29" s="133"/>
      <c r="ULQ29" s="133"/>
      <c r="ULR29" s="133"/>
      <c r="ULS29" s="133"/>
      <c r="ULT29" s="133"/>
      <c r="ULU29" s="133"/>
      <c r="ULV29" s="133"/>
      <c r="ULW29" s="133"/>
      <c r="ULX29" s="133"/>
      <c r="ULY29" s="133"/>
      <c r="ULZ29" s="133"/>
      <c r="UMA29" s="133"/>
      <c r="UMB29" s="133"/>
      <c r="UMC29" s="133"/>
      <c r="UMD29" s="133"/>
      <c r="UME29" s="133"/>
      <c r="UMF29" s="133"/>
      <c r="UMG29" s="133"/>
      <c r="UMH29" s="133"/>
      <c r="UMI29" s="133"/>
      <c r="UMJ29" s="133"/>
      <c r="UMK29" s="133"/>
      <c r="UML29" s="133"/>
      <c r="UMM29" s="133"/>
      <c r="UMN29" s="133"/>
      <c r="UMO29" s="133"/>
      <c r="UMP29" s="133"/>
      <c r="UMQ29" s="133"/>
      <c r="UMR29" s="133"/>
      <c r="UMS29" s="133"/>
      <c r="UMT29" s="133"/>
      <c r="UMU29" s="133"/>
      <c r="UMV29" s="133"/>
      <c r="UMW29" s="133"/>
      <c r="UMX29" s="133"/>
      <c r="UMY29" s="133"/>
      <c r="UMZ29" s="133"/>
      <c r="UNA29" s="133"/>
      <c r="UNB29" s="133"/>
      <c r="UNC29" s="133"/>
      <c r="UND29" s="133"/>
      <c r="UNE29" s="133"/>
      <c r="UNF29" s="133"/>
      <c r="UNG29" s="133"/>
      <c r="UNH29" s="133"/>
      <c r="UNI29" s="133"/>
      <c r="UNJ29" s="133"/>
      <c r="UNK29" s="133"/>
      <c r="UNL29" s="133"/>
      <c r="UNM29" s="133"/>
      <c r="UNN29" s="133"/>
      <c r="UNO29" s="133"/>
      <c r="UNP29" s="133"/>
      <c r="UNQ29" s="133"/>
      <c r="UNR29" s="133"/>
      <c r="UNS29" s="133"/>
      <c r="UNT29" s="133"/>
      <c r="UNU29" s="133"/>
      <c r="UNV29" s="133"/>
      <c r="UNW29" s="133"/>
      <c r="UNX29" s="133"/>
      <c r="UNY29" s="133"/>
      <c r="UNZ29" s="133"/>
      <c r="UOA29" s="133"/>
      <c r="UOB29" s="133"/>
      <c r="UOC29" s="133"/>
      <c r="UOD29" s="133"/>
      <c r="UOE29" s="133"/>
      <c r="UOF29" s="133"/>
      <c r="UOG29" s="133"/>
      <c r="UOH29" s="133"/>
      <c r="UOI29" s="133"/>
      <c r="UOJ29" s="133"/>
      <c r="UOK29" s="133"/>
      <c r="UOL29" s="133"/>
      <c r="UOM29" s="133"/>
      <c r="UON29" s="133"/>
      <c r="UOO29" s="133"/>
      <c r="UOP29" s="133"/>
      <c r="UOQ29" s="133"/>
      <c r="UOR29" s="133"/>
      <c r="UOS29" s="133"/>
      <c r="UOT29" s="133"/>
      <c r="UOU29" s="133"/>
      <c r="UOV29" s="133"/>
      <c r="UOW29" s="133"/>
      <c r="UOX29" s="133"/>
      <c r="UOY29" s="133"/>
      <c r="UOZ29" s="133"/>
      <c r="UPA29" s="133"/>
      <c r="UPB29" s="133"/>
      <c r="UPC29" s="133"/>
      <c r="UPD29" s="133"/>
      <c r="UPE29" s="133"/>
      <c r="UPF29" s="133"/>
      <c r="UPG29" s="133"/>
      <c r="UPH29" s="133"/>
      <c r="UPI29" s="133"/>
      <c r="UPJ29" s="133"/>
      <c r="UPK29" s="133"/>
      <c r="UPL29" s="133"/>
      <c r="UPM29" s="133"/>
      <c r="UPN29" s="133"/>
      <c r="UPO29" s="133"/>
      <c r="UPP29" s="133"/>
      <c r="UPQ29" s="133"/>
      <c r="UPR29" s="133"/>
      <c r="UPS29" s="133"/>
      <c r="UPT29" s="133"/>
      <c r="UPU29" s="133"/>
      <c r="UPV29" s="133"/>
      <c r="UPW29" s="133"/>
      <c r="UPX29" s="133"/>
      <c r="UPY29" s="133"/>
      <c r="UPZ29" s="133"/>
      <c r="UQA29" s="133"/>
      <c r="UQB29" s="133"/>
      <c r="UQC29" s="133"/>
      <c r="UQD29" s="133"/>
      <c r="UQE29" s="133"/>
      <c r="UQF29" s="133"/>
      <c r="UQG29" s="133"/>
      <c r="UQH29" s="133"/>
      <c r="UQI29" s="133"/>
      <c r="UQJ29" s="133"/>
      <c r="UQK29" s="133"/>
      <c r="UQL29" s="133"/>
      <c r="UQM29" s="133"/>
      <c r="UQN29" s="133"/>
      <c r="UQO29" s="133"/>
      <c r="UQP29" s="133"/>
      <c r="UQQ29" s="133"/>
      <c r="UQR29" s="133"/>
      <c r="UQS29" s="133"/>
      <c r="UQT29" s="133"/>
      <c r="UQU29" s="133"/>
      <c r="UQV29" s="133"/>
      <c r="UQW29" s="133"/>
      <c r="UQX29" s="133"/>
      <c r="UQY29" s="133"/>
      <c r="UQZ29" s="133"/>
      <c r="URA29" s="133"/>
      <c r="URB29" s="133"/>
      <c r="URC29" s="133"/>
      <c r="URD29" s="133"/>
      <c r="URE29" s="133"/>
      <c r="URF29" s="133"/>
      <c r="URG29" s="133"/>
      <c r="URH29" s="133"/>
      <c r="URI29" s="133"/>
      <c r="URJ29" s="133"/>
      <c r="URK29" s="133"/>
      <c r="URL29" s="133"/>
      <c r="URM29" s="133"/>
      <c r="URN29" s="133"/>
      <c r="URO29" s="133"/>
      <c r="URP29" s="133"/>
      <c r="URQ29" s="133"/>
      <c r="URR29" s="133"/>
      <c r="URS29" s="133"/>
      <c r="URT29" s="133"/>
      <c r="URU29" s="133"/>
      <c r="URV29" s="133"/>
      <c r="URW29" s="133"/>
      <c r="URX29" s="133"/>
      <c r="URY29" s="133"/>
      <c r="URZ29" s="133"/>
      <c r="USA29" s="133"/>
      <c r="USB29" s="133"/>
      <c r="USC29" s="133"/>
      <c r="USD29" s="133"/>
      <c r="USE29" s="133"/>
      <c r="USF29" s="133"/>
      <c r="USG29" s="133"/>
      <c r="USH29" s="133"/>
      <c r="USI29" s="133"/>
      <c r="USJ29" s="133"/>
      <c r="USK29" s="133"/>
      <c r="USL29" s="133"/>
      <c r="USM29" s="133"/>
      <c r="USN29" s="133"/>
      <c r="USO29" s="133"/>
      <c r="USP29" s="133"/>
      <c r="USQ29" s="133"/>
      <c r="USR29" s="133"/>
      <c r="USS29" s="133"/>
      <c r="UST29" s="133"/>
      <c r="USU29" s="133"/>
      <c r="USV29" s="133"/>
      <c r="USW29" s="133"/>
      <c r="USX29" s="133"/>
      <c r="USY29" s="133"/>
      <c r="USZ29" s="133"/>
      <c r="UTA29" s="133"/>
      <c r="UTB29" s="133"/>
      <c r="UTC29" s="133"/>
      <c r="UTD29" s="133"/>
      <c r="UTE29" s="133"/>
      <c r="UTF29" s="133"/>
      <c r="UTG29" s="133"/>
      <c r="UTH29" s="133"/>
      <c r="UTI29" s="133"/>
      <c r="UTJ29" s="133"/>
      <c r="UTK29" s="133"/>
      <c r="UTL29" s="133"/>
      <c r="UTM29" s="133"/>
      <c r="UTN29" s="133"/>
      <c r="UTO29" s="133"/>
      <c r="UTP29" s="133"/>
      <c r="UTQ29" s="133"/>
      <c r="UTR29" s="133"/>
      <c r="UTS29" s="133"/>
      <c r="UTT29" s="133"/>
      <c r="UTU29" s="133"/>
      <c r="UTV29" s="133"/>
      <c r="UTW29" s="133"/>
      <c r="UTX29" s="133"/>
      <c r="UTY29" s="133"/>
      <c r="UTZ29" s="133"/>
      <c r="UUA29" s="133"/>
      <c r="UUB29" s="133"/>
      <c r="UUC29" s="133"/>
      <c r="UUD29" s="133"/>
      <c r="UUE29" s="133"/>
      <c r="UUF29" s="133"/>
      <c r="UUG29" s="133"/>
      <c r="UUH29" s="133"/>
      <c r="UUI29" s="133"/>
      <c r="UUJ29" s="133"/>
      <c r="UUK29" s="133"/>
      <c r="UUL29" s="133"/>
      <c r="UUM29" s="133"/>
      <c r="UUN29" s="133"/>
      <c r="UUO29" s="133"/>
      <c r="UUP29" s="133"/>
      <c r="UUQ29" s="133"/>
      <c r="UUR29" s="133"/>
      <c r="UUS29" s="133"/>
      <c r="UUT29" s="133"/>
      <c r="UUU29" s="133"/>
      <c r="UUV29" s="133"/>
      <c r="UUW29" s="133"/>
      <c r="UUX29" s="133"/>
      <c r="UUY29" s="133"/>
      <c r="UUZ29" s="133"/>
      <c r="UVA29" s="133"/>
      <c r="UVB29" s="133"/>
      <c r="UVC29" s="133"/>
      <c r="UVD29" s="133"/>
      <c r="UVE29" s="133"/>
      <c r="UVF29" s="133"/>
      <c r="UVG29" s="133"/>
      <c r="UVH29" s="133"/>
      <c r="UVI29" s="133"/>
      <c r="UVJ29" s="133"/>
      <c r="UVK29" s="133"/>
      <c r="UVL29" s="133"/>
      <c r="UVM29" s="133"/>
      <c r="UVN29" s="133"/>
      <c r="UVO29" s="133"/>
      <c r="UVP29" s="133"/>
      <c r="UVQ29" s="133"/>
      <c r="UVR29" s="133"/>
      <c r="UVS29" s="133"/>
      <c r="UVT29" s="133"/>
      <c r="UVU29" s="133"/>
      <c r="UVV29" s="133"/>
      <c r="UVW29" s="133"/>
      <c r="UVX29" s="133"/>
      <c r="UVY29" s="133"/>
      <c r="UVZ29" s="133"/>
      <c r="UWA29" s="133"/>
      <c r="UWB29" s="133"/>
      <c r="UWC29" s="133"/>
      <c r="UWD29" s="133"/>
      <c r="UWE29" s="133"/>
      <c r="UWF29" s="133"/>
      <c r="UWG29" s="133"/>
      <c r="UWH29" s="133"/>
      <c r="UWI29" s="133"/>
      <c r="UWJ29" s="133"/>
      <c r="UWK29" s="133"/>
      <c r="UWL29" s="133"/>
      <c r="UWM29" s="133"/>
      <c r="UWN29" s="133"/>
      <c r="UWO29" s="133"/>
      <c r="UWP29" s="133"/>
      <c r="UWQ29" s="133"/>
      <c r="UWR29" s="133"/>
      <c r="UWS29" s="133"/>
      <c r="UWT29" s="133"/>
      <c r="UWU29" s="133"/>
      <c r="UWV29" s="133"/>
      <c r="UWW29" s="133"/>
      <c r="UWX29" s="133"/>
      <c r="UWY29" s="133"/>
      <c r="UWZ29" s="133"/>
      <c r="UXA29" s="133"/>
      <c r="UXB29" s="133"/>
      <c r="UXC29" s="133"/>
      <c r="UXD29" s="133"/>
      <c r="UXE29" s="133"/>
      <c r="UXF29" s="133"/>
      <c r="UXG29" s="133"/>
      <c r="UXH29" s="133"/>
      <c r="UXI29" s="133"/>
      <c r="UXJ29" s="133"/>
      <c r="UXK29" s="133"/>
      <c r="UXL29" s="133"/>
      <c r="UXM29" s="133"/>
      <c r="UXN29" s="133"/>
      <c r="UXO29" s="133"/>
      <c r="UXP29" s="133"/>
      <c r="UXQ29" s="133"/>
      <c r="UXR29" s="133"/>
      <c r="UXS29" s="133"/>
      <c r="UXT29" s="133"/>
      <c r="UXU29" s="133"/>
      <c r="UXV29" s="133"/>
      <c r="UXW29" s="133"/>
      <c r="UXX29" s="133"/>
      <c r="UXY29" s="133"/>
      <c r="UXZ29" s="133"/>
      <c r="UYA29" s="133"/>
      <c r="UYB29" s="133"/>
      <c r="UYC29" s="133"/>
      <c r="UYD29" s="133"/>
      <c r="UYE29" s="133"/>
      <c r="UYF29" s="133"/>
      <c r="UYG29" s="133"/>
      <c r="UYH29" s="133"/>
      <c r="UYI29" s="133"/>
      <c r="UYJ29" s="133"/>
      <c r="UYK29" s="133"/>
      <c r="UYL29" s="133"/>
      <c r="UYM29" s="133"/>
      <c r="UYN29" s="133"/>
      <c r="UYO29" s="133"/>
      <c r="UYP29" s="133"/>
      <c r="UYQ29" s="133"/>
      <c r="UYR29" s="133"/>
      <c r="UYS29" s="133"/>
      <c r="UYT29" s="133"/>
      <c r="UYU29" s="133"/>
      <c r="UYV29" s="133"/>
      <c r="UYW29" s="133"/>
      <c r="UYX29" s="133"/>
      <c r="UYY29" s="133"/>
      <c r="UYZ29" s="133"/>
      <c r="UZA29" s="133"/>
      <c r="UZB29" s="133"/>
      <c r="UZC29" s="133"/>
      <c r="UZD29" s="133"/>
      <c r="UZE29" s="133"/>
      <c r="UZF29" s="133"/>
      <c r="UZG29" s="133"/>
      <c r="UZH29" s="133"/>
      <c r="UZI29" s="133"/>
      <c r="UZJ29" s="133"/>
      <c r="UZK29" s="133"/>
      <c r="UZL29" s="133"/>
      <c r="UZM29" s="133"/>
      <c r="UZN29" s="133"/>
      <c r="UZO29" s="133"/>
      <c r="UZP29" s="133"/>
      <c r="UZQ29" s="133"/>
      <c r="UZR29" s="133"/>
      <c r="UZS29" s="133"/>
      <c r="UZT29" s="133"/>
      <c r="UZU29" s="133"/>
      <c r="UZV29" s="133"/>
      <c r="UZW29" s="133"/>
      <c r="UZX29" s="133"/>
      <c r="UZY29" s="133"/>
      <c r="UZZ29" s="133"/>
      <c r="VAA29" s="133"/>
      <c r="VAB29" s="133"/>
      <c r="VAC29" s="133"/>
      <c r="VAD29" s="133"/>
      <c r="VAE29" s="133"/>
      <c r="VAF29" s="133"/>
      <c r="VAG29" s="133"/>
      <c r="VAH29" s="133"/>
      <c r="VAI29" s="133"/>
      <c r="VAJ29" s="133"/>
      <c r="VAK29" s="133"/>
      <c r="VAL29" s="133"/>
      <c r="VAM29" s="133"/>
      <c r="VAN29" s="133"/>
      <c r="VAO29" s="133"/>
      <c r="VAP29" s="133"/>
      <c r="VAQ29" s="133"/>
      <c r="VAR29" s="133"/>
      <c r="VAS29" s="133"/>
      <c r="VAT29" s="133"/>
      <c r="VAU29" s="133"/>
      <c r="VAV29" s="133"/>
      <c r="VAW29" s="133"/>
      <c r="VAX29" s="133"/>
      <c r="VAY29" s="133"/>
      <c r="VAZ29" s="133"/>
      <c r="VBA29" s="133"/>
      <c r="VBB29" s="133"/>
      <c r="VBC29" s="133"/>
      <c r="VBD29" s="133"/>
      <c r="VBE29" s="133"/>
      <c r="VBF29" s="133"/>
      <c r="VBG29" s="133"/>
      <c r="VBH29" s="133"/>
      <c r="VBI29" s="133"/>
      <c r="VBJ29" s="133"/>
      <c r="VBK29" s="133"/>
      <c r="VBL29" s="133"/>
      <c r="VBM29" s="133"/>
      <c r="VBN29" s="133"/>
      <c r="VBO29" s="133"/>
      <c r="VBP29" s="133"/>
      <c r="VBQ29" s="133"/>
      <c r="VBR29" s="133"/>
      <c r="VBS29" s="133"/>
      <c r="VBT29" s="133"/>
      <c r="VBU29" s="133"/>
      <c r="VBV29" s="133"/>
      <c r="VBW29" s="133"/>
      <c r="VBX29" s="133"/>
      <c r="VBY29" s="133"/>
      <c r="VBZ29" s="133"/>
      <c r="VCA29" s="133"/>
      <c r="VCB29" s="133"/>
      <c r="VCC29" s="133"/>
      <c r="VCD29" s="133"/>
      <c r="VCE29" s="133"/>
      <c r="VCF29" s="133"/>
      <c r="VCG29" s="133"/>
      <c r="VCH29" s="133"/>
      <c r="VCI29" s="133"/>
      <c r="VCJ29" s="133"/>
      <c r="VCK29" s="133"/>
      <c r="VCL29" s="133"/>
      <c r="VCM29" s="133"/>
      <c r="VCN29" s="133"/>
      <c r="VCO29" s="133"/>
      <c r="VCP29" s="133"/>
      <c r="VCQ29" s="133"/>
      <c r="VCR29" s="133"/>
      <c r="VCS29" s="133"/>
      <c r="VCT29" s="133"/>
      <c r="VCU29" s="133"/>
      <c r="VCV29" s="133"/>
      <c r="VCW29" s="133"/>
      <c r="VCX29" s="133"/>
      <c r="VCY29" s="133"/>
      <c r="VCZ29" s="133"/>
      <c r="VDA29" s="133"/>
      <c r="VDB29" s="133"/>
      <c r="VDC29" s="133"/>
      <c r="VDD29" s="133"/>
      <c r="VDE29" s="133"/>
      <c r="VDF29" s="133"/>
      <c r="VDG29" s="133"/>
      <c r="VDH29" s="133"/>
      <c r="VDI29" s="133"/>
      <c r="VDJ29" s="133"/>
      <c r="VDK29" s="133"/>
      <c r="VDL29" s="133"/>
      <c r="VDM29" s="133"/>
      <c r="VDN29" s="133"/>
      <c r="VDO29" s="133"/>
      <c r="VDP29" s="133"/>
      <c r="VDQ29" s="133"/>
      <c r="VDR29" s="133"/>
      <c r="VDS29" s="133"/>
      <c r="VDT29" s="133"/>
      <c r="VDU29" s="133"/>
      <c r="VDV29" s="133"/>
      <c r="VDW29" s="133"/>
      <c r="VDX29" s="133"/>
      <c r="VDY29" s="133"/>
      <c r="VDZ29" s="133"/>
      <c r="VEA29" s="133"/>
      <c r="VEB29" s="133"/>
      <c r="VEC29" s="133"/>
      <c r="VED29" s="133"/>
      <c r="VEE29" s="133"/>
      <c r="VEF29" s="133"/>
      <c r="VEG29" s="133"/>
      <c r="VEH29" s="133"/>
      <c r="VEI29" s="133"/>
      <c r="VEJ29" s="133"/>
      <c r="VEK29" s="133"/>
      <c r="VEL29" s="133"/>
      <c r="VEM29" s="133"/>
      <c r="VEN29" s="133"/>
      <c r="VEO29" s="133"/>
      <c r="VEP29" s="133"/>
      <c r="VEQ29" s="133"/>
      <c r="VER29" s="133"/>
      <c r="VES29" s="133"/>
      <c r="VET29" s="133"/>
      <c r="VEU29" s="133"/>
      <c r="VEV29" s="133"/>
      <c r="VEW29" s="133"/>
      <c r="VEX29" s="133"/>
      <c r="VEY29" s="133"/>
      <c r="VEZ29" s="133"/>
      <c r="VFA29" s="133"/>
      <c r="VFB29" s="133"/>
      <c r="VFC29" s="133"/>
      <c r="VFD29" s="133"/>
      <c r="VFE29" s="133"/>
      <c r="VFF29" s="133"/>
      <c r="VFG29" s="133"/>
      <c r="VFH29" s="133"/>
      <c r="VFI29" s="133"/>
      <c r="VFJ29" s="133"/>
      <c r="VFK29" s="133"/>
      <c r="VFL29" s="133"/>
      <c r="VFM29" s="133"/>
      <c r="VFN29" s="133"/>
      <c r="VFO29" s="133"/>
      <c r="VFP29" s="133"/>
      <c r="VFQ29" s="133"/>
      <c r="VFR29" s="133"/>
      <c r="VFS29" s="133"/>
      <c r="VFT29" s="133"/>
      <c r="VFU29" s="133"/>
      <c r="VFV29" s="133"/>
      <c r="VFW29" s="133"/>
      <c r="VFX29" s="133"/>
      <c r="VFY29" s="133"/>
      <c r="VFZ29" s="133"/>
      <c r="VGA29" s="133"/>
      <c r="VGB29" s="133"/>
      <c r="VGC29" s="133"/>
      <c r="VGD29" s="133"/>
      <c r="VGE29" s="133"/>
      <c r="VGF29" s="133"/>
      <c r="VGG29" s="133"/>
      <c r="VGH29" s="133"/>
      <c r="VGI29" s="133"/>
      <c r="VGJ29" s="133"/>
      <c r="VGK29" s="133"/>
      <c r="VGL29" s="133"/>
      <c r="VGM29" s="133"/>
      <c r="VGN29" s="133"/>
      <c r="VGO29" s="133"/>
      <c r="VGP29" s="133"/>
      <c r="VGQ29" s="133"/>
      <c r="VGR29" s="133"/>
      <c r="VGS29" s="133"/>
      <c r="VGT29" s="133"/>
      <c r="VGU29" s="133"/>
      <c r="VGV29" s="133"/>
      <c r="VGW29" s="133"/>
      <c r="VGX29" s="133"/>
      <c r="VGY29" s="133"/>
      <c r="VGZ29" s="133"/>
      <c r="VHA29" s="133"/>
      <c r="VHB29" s="133"/>
      <c r="VHC29" s="133"/>
      <c r="VHD29" s="133"/>
      <c r="VHE29" s="133"/>
      <c r="VHF29" s="133"/>
      <c r="VHG29" s="133"/>
      <c r="VHH29" s="133"/>
      <c r="VHI29" s="133"/>
      <c r="VHJ29" s="133"/>
      <c r="VHK29" s="133"/>
      <c r="VHL29" s="133"/>
      <c r="VHM29" s="133"/>
      <c r="VHN29" s="133"/>
      <c r="VHO29" s="133"/>
      <c r="VHP29" s="133"/>
      <c r="VHQ29" s="133"/>
      <c r="VHR29" s="133"/>
      <c r="VHS29" s="133"/>
      <c r="VHT29" s="133"/>
      <c r="VHU29" s="133"/>
      <c r="VHV29" s="133"/>
      <c r="VHW29" s="133"/>
      <c r="VHX29" s="133"/>
      <c r="VHY29" s="133"/>
      <c r="VHZ29" s="133"/>
      <c r="VIA29" s="133"/>
      <c r="VIB29" s="133"/>
      <c r="VIC29" s="133"/>
      <c r="VID29" s="133"/>
      <c r="VIE29" s="133"/>
      <c r="VIF29" s="133"/>
      <c r="VIG29" s="133"/>
      <c r="VIH29" s="133"/>
      <c r="VII29" s="133"/>
      <c r="VIJ29" s="133"/>
      <c r="VIK29" s="133"/>
      <c r="VIL29" s="133"/>
      <c r="VIM29" s="133"/>
      <c r="VIN29" s="133"/>
      <c r="VIO29" s="133"/>
      <c r="VIP29" s="133"/>
      <c r="VIQ29" s="133"/>
      <c r="VIR29" s="133"/>
      <c r="VIS29" s="133"/>
      <c r="VIT29" s="133"/>
      <c r="VIU29" s="133"/>
      <c r="VIV29" s="133"/>
      <c r="VIW29" s="133"/>
      <c r="VIX29" s="133"/>
      <c r="VIY29" s="133"/>
      <c r="VIZ29" s="133"/>
      <c r="VJA29" s="133"/>
      <c r="VJB29" s="133"/>
      <c r="VJC29" s="133"/>
      <c r="VJD29" s="133"/>
      <c r="VJE29" s="133"/>
      <c r="VJF29" s="133"/>
      <c r="VJG29" s="133"/>
      <c r="VJH29" s="133"/>
      <c r="VJI29" s="133"/>
      <c r="VJJ29" s="133"/>
      <c r="VJK29" s="133"/>
      <c r="VJL29" s="133"/>
      <c r="VJM29" s="133"/>
      <c r="VJN29" s="133"/>
      <c r="VJO29" s="133"/>
      <c r="VJP29" s="133"/>
      <c r="VJQ29" s="133"/>
      <c r="VJR29" s="133"/>
      <c r="VJS29" s="133"/>
      <c r="VJT29" s="133"/>
      <c r="VJU29" s="133"/>
      <c r="VJV29" s="133"/>
      <c r="VJW29" s="133"/>
      <c r="VJX29" s="133"/>
      <c r="VJY29" s="133"/>
      <c r="VJZ29" s="133"/>
      <c r="VKA29" s="133"/>
      <c r="VKB29" s="133"/>
      <c r="VKC29" s="133"/>
      <c r="VKD29" s="133"/>
      <c r="VKE29" s="133"/>
      <c r="VKF29" s="133"/>
      <c r="VKG29" s="133"/>
      <c r="VKH29" s="133"/>
      <c r="VKI29" s="133"/>
      <c r="VKJ29" s="133"/>
      <c r="VKK29" s="133"/>
      <c r="VKL29" s="133"/>
      <c r="VKM29" s="133"/>
      <c r="VKN29" s="133"/>
      <c r="VKO29" s="133"/>
      <c r="VKP29" s="133"/>
      <c r="VKQ29" s="133"/>
      <c r="VKR29" s="133"/>
      <c r="VKS29" s="133"/>
      <c r="VKT29" s="133"/>
      <c r="VKU29" s="133"/>
      <c r="VKV29" s="133"/>
      <c r="VKW29" s="133"/>
      <c r="VKX29" s="133"/>
      <c r="VKY29" s="133"/>
      <c r="VKZ29" s="133"/>
      <c r="VLA29" s="133"/>
      <c r="VLB29" s="133"/>
      <c r="VLC29" s="133"/>
      <c r="VLD29" s="133"/>
      <c r="VLE29" s="133"/>
      <c r="VLF29" s="133"/>
      <c r="VLG29" s="133"/>
      <c r="VLH29" s="133"/>
      <c r="VLI29" s="133"/>
      <c r="VLJ29" s="133"/>
      <c r="VLK29" s="133"/>
      <c r="VLL29" s="133"/>
      <c r="VLM29" s="133"/>
      <c r="VLN29" s="133"/>
      <c r="VLO29" s="133"/>
      <c r="VLP29" s="133"/>
      <c r="VLQ29" s="133"/>
      <c r="VLR29" s="133"/>
      <c r="VLS29" s="133"/>
      <c r="VLT29" s="133"/>
      <c r="VLU29" s="133"/>
      <c r="VLV29" s="133"/>
      <c r="VLW29" s="133"/>
      <c r="VLX29" s="133"/>
      <c r="VLY29" s="133"/>
      <c r="VLZ29" s="133"/>
      <c r="VMA29" s="133"/>
      <c r="VMB29" s="133"/>
      <c r="VMC29" s="133"/>
      <c r="VMD29" s="133"/>
      <c r="VME29" s="133"/>
      <c r="VMF29" s="133"/>
      <c r="VMG29" s="133"/>
      <c r="VMH29" s="133"/>
      <c r="VMI29" s="133"/>
      <c r="VMJ29" s="133"/>
      <c r="VMK29" s="133"/>
      <c r="VML29" s="133"/>
      <c r="VMM29" s="133"/>
      <c r="VMN29" s="133"/>
      <c r="VMO29" s="133"/>
      <c r="VMP29" s="133"/>
      <c r="VMQ29" s="133"/>
      <c r="VMR29" s="133"/>
      <c r="VMS29" s="133"/>
      <c r="VMT29" s="133"/>
      <c r="VMU29" s="133"/>
      <c r="VMV29" s="133"/>
      <c r="VMW29" s="133"/>
      <c r="VMX29" s="133"/>
      <c r="VMY29" s="133"/>
      <c r="VMZ29" s="133"/>
      <c r="VNA29" s="133"/>
      <c r="VNB29" s="133"/>
      <c r="VNC29" s="133"/>
      <c r="VND29" s="133"/>
      <c r="VNE29" s="133"/>
      <c r="VNF29" s="133"/>
      <c r="VNG29" s="133"/>
      <c r="VNH29" s="133"/>
      <c r="VNI29" s="133"/>
      <c r="VNJ29" s="133"/>
      <c r="VNK29" s="133"/>
      <c r="VNL29" s="133"/>
      <c r="VNM29" s="133"/>
      <c r="VNN29" s="133"/>
      <c r="VNO29" s="133"/>
      <c r="VNP29" s="133"/>
      <c r="VNQ29" s="133"/>
      <c r="VNR29" s="133"/>
      <c r="VNS29" s="133"/>
      <c r="VNT29" s="133"/>
      <c r="VNU29" s="133"/>
      <c r="VNV29" s="133"/>
      <c r="VNW29" s="133"/>
      <c r="VNX29" s="133"/>
      <c r="VNY29" s="133"/>
      <c r="VNZ29" s="133"/>
      <c r="VOA29" s="133"/>
      <c r="VOB29" s="133"/>
      <c r="VOC29" s="133"/>
      <c r="VOD29" s="133"/>
      <c r="VOE29" s="133"/>
      <c r="VOF29" s="133"/>
      <c r="VOG29" s="133"/>
      <c r="VOH29" s="133"/>
      <c r="VOI29" s="133"/>
      <c r="VOJ29" s="133"/>
      <c r="VOK29" s="133"/>
      <c r="VOL29" s="133"/>
      <c r="VOM29" s="133"/>
      <c r="VON29" s="133"/>
      <c r="VOO29" s="133"/>
      <c r="VOP29" s="133"/>
      <c r="VOQ29" s="133"/>
      <c r="VOR29" s="133"/>
      <c r="VOS29" s="133"/>
      <c r="VOT29" s="133"/>
      <c r="VOU29" s="133"/>
      <c r="VOV29" s="133"/>
      <c r="VOW29" s="133"/>
      <c r="VOX29" s="133"/>
      <c r="VOY29" s="133"/>
      <c r="VOZ29" s="133"/>
      <c r="VPA29" s="133"/>
      <c r="VPB29" s="133"/>
      <c r="VPC29" s="133"/>
      <c r="VPD29" s="133"/>
      <c r="VPE29" s="133"/>
      <c r="VPF29" s="133"/>
      <c r="VPG29" s="133"/>
      <c r="VPH29" s="133"/>
      <c r="VPI29" s="133"/>
      <c r="VPJ29" s="133"/>
      <c r="VPK29" s="133"/>
      <c r="VPL29" s="133"/>
      <c r="VPM29" s="133"/>
      <c r="VPN29" s="133"/>
      <c r="VPO29" s="133"/>
      <c r="VPP29" s="133"/>
      <c r="VPQ29" s="133"/>
      <c r="VPR29" s="133"/>
      <c r="VPS29" s="133"/>
      <c r="VPT29" s="133"/>
      <c r="VPU29" s="133"/>
      <c r="VPV29" s="133"/>
      <c r="VPW29" s="133"/>
      <c r="VPX29" s="133"/>
      <c r="VPY29" s="133"/>
      <c r="VPZ29" s="133"/>
      <c r="VQA29" s="133"/>
      <c r="VQB29" s="133"/>
      <c r="VQC29" s="133"/>
      <c r="VQD29" s="133"/>
      <c r="VQE29" s="133"/>
      <c r="VQF29" s="133"/>
      <c r="VQG29" s="133"/>
      <c r="VQH29" s="133"/>
      <c r="VQI29" s="133"/>
      <c r="VQJ29" s="133"/>
      <c r="VQK29" s="133"/>
      <c r="VQL29" s="133"/>
      <c r="VQM29" s="133"/>
      <c r="VQN29" s="133"/>
      <c r="VQO29" s="133"/>
      <c r="VQP29" s="133"/>
      <c r="VQQ29" s="133"/>
      <c r="VQR29" s="133"/>
      <c r="VQS29" s="133"/>
      <c r="VQT29" s="133"/>
      <c r="VQU29" s="133"/>
      <c r="VQV29" s="133"/>
      <c r="VQW29" s="133"/>
      <c r="VQX29" s="133"/>
      <c r="VQY29" s="133"/>
      <c r="VQZ29" s="133"/>
      <c r="VRA29" s="133"/>
      <c r="VRB29" s="133"/>
      <c r="VRC29" s="133"/>
      <c r="VRD29" s="133"/>
      <c r="VRE29" s="133"/>
      <c r="VRF29" s="133"/>
      <c r="VRG29" s="133"/>
      <c r="VRH29" s="133"/>
      <c r="VRI29" s="133"/>
      <c r="VRJ29" s="133"/>
      <c r="VRK29" s="133"/>
      <c r="VRL29" s="133"/>
      <c r="VRM29" s="133"/>
      <c r="VRN29" s="133"/>
      <c r="VRO29" s="133"/>
      <c r="VRP29" s="133"/>
      <c r="VRQ29" s="133"/>
      <c r="VRR29" s="133"/>
      <c r="VRS29" s="133"/>
      <c r="VRT29" s="133"/>
      <c r="VRU29" s="133"/>
      <c r="VRV29" s="133"/>
      <c r="VRW29" s="133"/>
      <c r="VRX29" s="133"/>
      <c r="VRY29" s="133"/>
      <c r="VRZ29" s="133"/>
      <c r="VSA29" s="133"/>
      <c r="VSB29" s="133"/>
      <c r="VSC29" s="133"/>
      <c r="VSD29" s="133"/>
      <c r="VSE29" s="133"/>
      <c r="VSF29" s="133"/>
      <c r="VSG29" s="133"/>
      <c r="VSH29" s="133"/>
      <c r="VSI29" s="133"/>
      <c r="VSJ29" s="133"/>
      <c r="VSK29" s="133"/>
      <c r="VSL29" s="133"/>
      <c r="VSM29" s="133"/>
      <c r="VSN29" s="133"/>
      <c r="VSO29" s="133"/>
      <c r="VSP29" s="133"/>
      <c r="VSQ29" s="133"/>
      <c r="VSR29" s="133"/>
      <c r="VSS29" s="133"/>
      <c r="VST29" s="133"/>
      <c r="VSU29" s="133"/>
      <c r="VSV29" s="133"/>
      <c r="VSW29" s="133"/>
      <c r="VSX29" s="133"/>
      <c r="VSY29" s="133"/>
      <c r="VSZ29" s="133"/>
      <c r="VTA29" s="133"/>
      <c r="VTB29" s="133"/>
      <c r="VTC29" s="133"/>
      <c r="VTD29" s="133"/>
      <c r="VTE29" s="133"/>
      <c r="VTF29" s="133"/>
      <c r="VTG29" s="133"/>
      <c r="VTH29" s="133"/>
      <c r="VTI29" s="133"/>
      <c r="VTJ29" s="133"/>
      <c r="VTK29" s="133"/>
      <c r="VTL29" s="133"/>
      <c r="VTM29" s="133"/>
      <c r="VTN29" s="133"/>
      <c r="VTO29" s="133"/>
      <c r="VTP29" s="133"/>
      <c r="VTQ29" s="133"/>
      <c r="VTR29" s="133"/>
      <c r="VTS29" s="133"/>
      <c r="VTT29" s="133"/>
      <c r="VTU29" s="133"/>
      <c r="VTV29" s="133"/>
      <c r="VTW29" s="133"/>
      <c r="VTX29" s="133"/>
      <c r="VTY29" s="133"/>
      <c r="VTZ29" s="133"/>
      <c r="VUA29" s="133"/>
      <c r="VUB29" s="133"/>
      <c r="VUC29" s="133"/>
      <c r="VUD29" s="133"/>
      <c r="VUE29" s="133"/>
      <c r="VUF29" s="133"/>
      <c r="VUG29" s="133"/>
      <c r="VUH29" s="133"/>
      <c r="VUI29" s="133"/>
      <c r="VUJ29" s="133"/>
      <c r="VUK29" s="133"/>
      <c r="VUL29" s="133"/>
      <c r="VUM29" s="133"/>
      <c r="VUN29" s="133"/>
      <c r="VUO29" s="133"/>
      <c r="VUP29" s="133"/>
      <c r="VUQ29" s="133"/>
      <c r="VUR29" s="133"/>
      <c r="VUS29" s="133"/>
      <c r="VUT29" s="133"/>
      <c r="VUU29" s="133"/>
      <c r="VUV29" s="133"/>
      <c r="VUW29" s="133"/>
      <c r="VUX29" s="133"/>
      <c r="VUY29" s="133"/>
      <c r="VUZ29" s="133"/>
      <c r="VVA29" s="133"/>
      <c r="VVB29" s="133"/>
      <c r="VVC29" s="133"/>
      <c r="VVD29" s="133"/>
      <c r="VVE29" s="133"/>
      <c r="VVF29" s="133"/>
      <c r="VVG29" s="133"/>
      <c r="VVH29" s="133"/>
      <c r="VVI29" s="133"/>
      <c r="VVJ29" s="133"/>
      <c r="VVK29" s="133"/>
      <c r="VVL29" s="133"/>
      <c r="VVM29" s="133"/>
      <c r="VVN29" s="133"/>
      <c r="VVO29" s="133"/>
      <c r="VVP29" s="133"/>
      <c r="VVQ29" s="133"/>
      <c r="VVR29" s="133"/>
      <c r="VVS29" s="133"/>
      <c r="VVT29" s="133"/>
      <c r="VVU29" s="133"/>
      <c r="VVV29" s="133"/>
      <c r="VVW29" s="133"/>
      <c r="VVX29" s="133"/>
      <c r="VVY29" s="133"/>
      <c r="VVZ29" s="133"/>
      <c r="VWA29" s="133"/>
      <c r="VWB29" s="133"/>
      <c r="VWC29" s="133"/>
      <c r="VWD29" s="133"/>
      <c r="VWE29" s="133"/>
      <c r="VWF29" s="133"/>
      <c r="VWG29" s="133"/>
      <c r="VWH29" s="133"/>
      <c r="VWI29" s="133"/>
      <c r="VWJ29" s="133"/>
      <c r="VWK29" s="133"/>
      <c r="VWL29" s="133"/>
      <c r="VWM29" s="133"/>
      <c r="VWN29" s="133"/>
      <c r="VWO29" s="133"/>
      <c r="VWP29" s="133"/>
      <c r="VWQ29" s="133"/>
      <c r="VWR29" s="133"/>
      <c r="VWS29" s="133"/>
      <c r="VWT29" s="133"/>
      <c r="VWU29" s="133"/>
      <c r="VWV29" s="133"/>
      <c r="VWW29" s="133"/>
      <c r="VWX29" s="133"/>
      <c r="VWY29" s="133"/>
      <c r="VWZ29" s="133"/>
      <c r="VXA29" s="133"/>
      <c r="VXB29" s="133"/>
      <c r="VXC29" s="133"/>
      <c r="VXD29" s="133"/>
      <c r="VXE29" s="133"/>
      <c r="VXF29" s="133"/>
      <c r="VXG29" s="133"/>
      <c r="VXH29" s="133"/>
      <c r="VXI29" s="133"/>
      <c r="VXJ29" s="133"/>
      <c r="VXK29" s="133"/>
      <c r="VXL29" s="133"/>
      <c r="VXM29" s="133"/>
      <c r="VXN29" s="133"/>
      <c r="VXO29" s="133"/>
      <c r="VXP29" s="133"/>
      <c r="VXQ29" s="133"/>
      <c r="VXR29" s="133"/>
      <c r="VXS29" s="133"/>
      <c r="VXT29" s="133"/>
      <c r="VXU29" s="133"/>
      <c r="VXV29" s="133"/>
      <c r="VXW29" s="133"/>
      <c r="VXX29" s="133"/>
      <c r="VXY29" s="133"/>
      <c r="VXZ29" s="133"/>
      <c r="VYA29" s="133"/>
      <c r="VYB29" s="133"/>
      <c r="VYC29" s="133"/>
      <c r="VYD29" s="133"/>
      <c r="VYE29" s="133"/>
      <c r="VYF29" s="133"/>
      <c r="VYG29" s="133"/>
      <c r="VYH29" s="133"/>
      <c r="VYI29" s="133"/>
      <c r="VYJ29" s="133"/>
      <c r="VYK29" s="133"/>
      <c r="VYL29" s="133"/>
      <c r="VYM29" s="133"/>
      <c r="VYN29" s="133"/>
      <c r="VYO29" s="133"/>
      <c r="VYP29" s="133"/>
      <c r="VYQ29" s="133"/>
      <c r="VYR29" s="133"/>
      <c r="VYS29" s="133"/>
      <c r="VYT29" s="133"/>
      <c r="VYU29" s="133"/>
      <c r="VYV29" s="133"/>
      <c r="VYW29" s="133"/>
      <c r="VYX29" s="133"/>
      <c r="VYY29" s="133"/>
      <c r="VYZ29" s="133"/>
      <c r="VZA29" s="133"/>
      <c r="VZB29" s="133"/>
      <c r="VZC29" s="133"/>
      <c r="VZD29" s="133"/>
      <c r="VZE29" s="133"/>
      <c r="VZF29" s="133"/>
      <c r="VZG29" s="133"/>
      <c r="VZH29" s="133"/>
      <c r="VZI29" s="133"/>
      <c r="VZJ29" s="133"/>
      <c r="VZK29" s="133"/>
      <c r="VZL29" s="133"/>
      <c r="VZM29" s="133"/>
      <c r="VZN29" s="133"/>
      <c r="VZO29" s="133"/>
      <c r="VZP29" s="133"/>
      <c r="VZQ29" s="133"/>
      <c r="VZR29" s="133"/>
      <c r="VZS29" s="133"/>
      <c r="VZT29" s="133"/>
      <c r="VZU29" s="133"/>
      <c r="VZV29" s="133"/>
      <c r="VZW29" s="133"/>
      <c r="VZX29" s="133"/>
      <c r="VZY29" s="133"/>
      <c r="VZZ29" s="133"/>
      <c r="WAA29" s="133"/>
      <c r="WAB29" s="133"/>
      <c r="WAC29" s="133"/>
      <c r="WAD29" s="133"/>
      <c r="WAE29" s="133"/>
      <c r="WAF29" s="133"/>
      <c r="WAG29" s="133"/>
      <c r="WAH29" s="133"/>
      <c r="WAI29" s="133"/>
      <c r="WAJ29" s="133"/>
      <c r="WAK29" s="133"/>
      <c r="WAL29" s="133"/>
      <c r="WAM29" s="133"/>
      <c r="WAN29" s="133"/>
      <c r="WAO29" s="133"/>
      <c r="WAP29" s="133"/>
      <c r="WAQ29" s="133"/>
      <c r="WAR29" s="133"/>
      <c r="WAS29" s="133"/>
      <c r="WAT29" s="133"/>
      <c r="WAU29" s="133"/>
      <c r="WAV29" s="133"/>
      <c r="WAW29" s="133"/>
      <c r="WAX29" s="133"/>
      <c r="WAY29" s="133"/>
      <c r="WAZ29" s="133"/>
      <c r="WBA29" s="133"/>
      <c r="WBB29" s="133"/>
      <c r="WBC29" s="133"/>
      <c r="WBD29" s="133"/>
      <c r="WBE29" s="133"/>
      <c r="WBF29" s="133"/>
      <c r="WBG29" s="133"/>
      <c r="WBH29" s="133"/>
      <c r="WBI29" s="133"/>
      <c r="WBJ29" s="133"/>
      <c r="WBK29" s="133"/>
      <c r="WBL29" s="133"/>
      <c r="WBM29" s="133"/>
      <c r="WBN29" s="133"/>
      <c r="WBO29" s="133"/>
      <c r="WBP29" s="133"/>
      <c r="WBQ29" s="133"/>
      <c r="WBR29" s="133"/>
      <c r="WBS29" s="133"/>
      <c r="WBT29" s="133"/>
      <c r="WBU29" s="133"/>
      <c r="WBV29" s="133"/>
      <c r="WBW29" s="133"/>
      <c r="WBX29" s="133"/>
      <c r="WBY29" s="133"/>
      <c r="WBZ29" s="133"/>
      <c r="WCA29" s="133"/>
      <c r="WCB29" s="133"/>
      <c r="WCC29" s="133"/>
      <c r="WCD29" s="133"/>
      <c r="WCE29" s="133"/>
      <c r="WCF29" s="133"/>
      <c r="WCG29" s="133"/>
      <c r="WCH29" s="133"/>
      <c r="WCI29" s="133"/>
      <c r="WCJ29" s="133"/>
      <c r="WCK29" s="133"/>
      <c r="WCL29" s="133"/>
      <c r="WCM29" s="133"/>
      <c r="WCN29" s="133"/>
      <c r="WCO29" s="133"/>
      <c r="WCP29" s="133"/>
      <c r="WCQ29" s="133"/>
      <c r="WCR29" s="133"/>
      <c r="WCS29" s="133"/>
      <c r="WCT29" s="133"/>
      <c r="WCU29" s="133"/>
      <c r="WCV29" s="133"/>
      <c r="WCW29" s="133"/>
      <c r="WCX29" s="133"/>
      <c r="WCY29" s="133"/>
      <c r="WCZ29" s="133"/>
      <c r="WDA29" s="133"/>
      <c r="WDB29" s="133"/>
      <c r="WDC29" s="133"/>
      <c r="WDD29" s="133"/>
      <c r="WDE29" s="133"/>
      <c r="WDF29" s="133"/>
      <c r="WDG29" s="133"/>
      <c r="WDH29" s="133"/>
      <c r="WDI29" s="133"/>
      <c r="WDJ29" s="133"/>
      <c r="WDK29" s="133"/>
      <c r="WDL29" s="133"/>
      <c r="WDM29" s="133"/>
      <c r="WDN29" s="133"/>
      <c r="WDO29" s="133"/>
      <c r="WDP29" s="133"/>
      <c r="WDQ29" s="133"/>
      <c r="WDR29" s="133"/>
      <c r="WDS29" s="133"/>
      <c r="WDT29" s="133"/>
      <c r="WDU29" s="133"/>
      <c r="WDV29" s="133"/>
      <c r="WDW29" s="133"/>
      <c r="WDX29" s="133"/>
      <c r="WDY29" s="133"/>
      <c r="WDZ29" s="133"/>
      <c r="WEA29" s="133"/>
      <c r="WEB29" s="133"/>
      <c r="WEC29" s="133"/>
      <c r="WED29" s="133"/>
      <c r="WEE29" s="133"/>
      <c r="WEF29" s="133"/>
      <c r="WEG29" s="133"/>
      <c r="WEH29" s="133"/>
      <c r="WEI29" s="133"/>
      <c r="WEJ29" s="133"/>
      <c r="WEK29" s="133"/>
      <c r="WEL29" s="133"/>
      <c r="WEM29" s="133"/>
      <c r="WEN29" s="133"/>
      <c r="WEO29" s="133"/>
      <c r="WEP29" s="133"/>
      <c r="WEQ29" s="133"/>
      <c r="WER29" s="133"/>
      <c r="WES29" s="133"/>
      <c r="WET29" s="133"/>
      <c r="WEU29" s="133"/>
      <c r="WEV29" s="133"/>
      <c r="WEW29" s="133"/>
      <c r="WEX29" s="133"/>
      <c r="WEY29" s="133"/>
      <c r="WEZ29" s="133"/>
      <c r="WFA29" s="133"/>
      <c r="WFB29" s="133"/>
      <c r="WFC29" s="133"/>
      <c r="WFD29" s="133"/>
      <c r="WFE29" s="133"/>
      <c r="WFF29" s="133"/>
      <c r="WFG29" s="133"/>
      <c r="WFH29" s="133"/>
      <c r="WFI29" s="133"/>
      <c r="WFJ29" s="133"/>
      <c r="WFK29" s="133"/>
      <c r="WFL29" s="133"/>
      <c r="WFM29" s="133"/>
      <c r="WFN29" s="133"/>
      <c r="WFO29" s="133"/>
      <c r="WFP29" s="133"/>
      <c r="WFQ29" s="133"/>
      <c r="WFR29" s="133"/>
      <c r="WFS29" s="133"/>
      <c r="WFT29" s="133"/>
      <c r="WFU29" s="133"/>
      <c r="WFV29" s="133"/>
      <c r="WFW29" s="133"/>
      <c r="WFX29" s="133"/>
      <c r="WFY29" s="133"/>
      <c r="WFZ29" s="133"/>
      <c r="WGA29" s="133"/>
      <c r="WGB29" s="133"/>
      <c r="WGC29" s="133"/>
      <c r="WGD29" s="133"/>
      <c r="WGE29" s="133"/>
      <c r="WGF29" s="133"/>
      <c r="WGG29" s="133"/>
      <c r="WGH29" s="133"/>
      <c r="WGI29" s="133"/>
      <c r="WGJ29" s="133"/>
      <c r="WGK29" s="133"/>
      <c r="WGL29" s="133"/>
      <c r="WGM29" s="133"/>
      <c r="WGN29" s="133"/>
      <c r="WGO29" s="133"/>
      <c r="WGP29" s="133"/>
      <c r="WGQ29" s="133"/>
      <c r="WGR29" s="133"/>
      <c r="WGS29" s="133"/>
      <c r="WGT29" s="133"/>
      <c r="WGU29" s="133"/>
      <c r="WGV29" s="133"/>
      <c r="WGW29" s="133"/>
      <c r="WGX29" s="133"/>
      <c r="WGY29" s="133"/>
      <c r="WGZ29" s="133"/>
      <c r="WHA29" s="133"/>
      <c r="WHB29" s="133"/>
      <c r="WHC29" s="133"/>
      <c r="WHD29" s="133"/>
      <c r="WHE29" s="133"/>
      <c r="WHF29" s="133"/>
      <c r="WHG29" s="133"/>
      <c r="WHH29" s="133"/>
      <c r="WHI29" s="133"/>
      <c r="WHJ29" s="133"/>
      <c r="WHK29" s="133"/>
      <c r="WHL29" s="133"/>
      <c r="WHM29" s="133"/>
      <c r="WHN29" s="133"/>
      <c r="WHO29" s="133"/>
      <c r="WHP29" s="133"/>
      <c r="WHQ29" s="133"/>
      <c r="WHR29" s="133"/>
      <c r="WHS29" s="133"/>
      <c r="WHT29" s="133"/>
      <c r="WHU29" s="133"/>
      <c r="WHV29" s="133"/>
      <c r="WHW29" s="133"/>
      <c r="WHX29" s="133"/>
      <c r="WHY29" s="133"/>
      <c r="WHZ29" s="133"/>
      <c r="WIA29" s="133"/>
      <c r="WIB29" s="133"/>
      <c r="WIC29" s="133"/>
      <c r="WID29" s="133"/>
      <c r="WIE29" s="133"/>
      <c r="WIF29" s="133"/>
      <c r="WIG29" s="133"/>
      <c r="WIH29" s="133"/>
      <c r="WII29" s="133"/>
      <c r="WIJ29" s="133"/>
      <c r="WIK29" s="133"/>
      <c r="WIL29" s="133"/>
      <c r="WIM29" s="133"/>
      <c r="WIN29" s="133"/>
      <c r="WIO29" s="133"/>
      <c r="WIP29" s="133"/>
      <c r="WIQ29" s="133"/>
      <c r="WIR29" s="133"/>
      <c r="WIS29" s="133"/>
      <c r="WIT29" s="133"/>
      <c r="WIU29" s="133"/>
      <c r="WIV29" s="133"/>
      <c r="WIW29" s="133"/>
      <c r="WIX29" s="133"/>
      <c r="WIY29" s="133"/>
      <c r="WIZ29" s="133"/>
      <c r="WJA29" s="133"/>
      <c r="WJB29" s="133"/>
      <c r="WJC29" s="133"/>
      <c r="WJD29" s="133"/>
      <c r="WJE29" s="133"/>
      <c r="WJF29" s="133"/>
      <c r="WJG29" s="133"/>
      <c r="WJH29" s="133"/>
      <c r="WJI29" s="133"/>
      <c r="WJJ29" s="133"/>
      <c r="WJK29" s="133"/>
      <c r="WJL29" s="133"/>
      <c r="WJM29" s="133"/>
      <c r="WJN29" s="133"/>
      <c r="WJO29" s="133"/>
      <c r="WJP29" s="133"/>
      <c r="WJQ29" s="133"/>
      <c r="WJR29" s="133"/>
      <c r="WJS29" s="133"/>
      <c r="WJT29" s="133"/>
      <c r="WJU29" s="133"/>
      <c r="WJV29" s="133"/>
      <c r="WJW29" s="133"/>
      <c r="WJX29" s="133"/>
      <c r="WJY29" s="133"/>
      <c r="WJZ29" s="133"/>
      <c r="WKA29" s="133"/>
      <c r="WKB29" s="133"/>
      <c r="WKC29" s="133"/>
      <c r="WKD29" s="133"/>
      <c r="WKE29" s="133"/>
      <c r="WKF29" s="133"/>
      <c r="WKG29" s="133"/>
      <c r="WKH29" s="133"/>
      <c r="WKI29" s="133"/>
      <c r="WKJ29" s="133"/>
      <c r="WKK29" s="133"/>
      <c r="WKL29" s="133"/>
      <c r="WKM29" s="133"/>
      <c r="WKN29" s="133"/>
      <c r="WKO29" s="133"/>
      <c r="WKP29" s="133"/>
      <c r="WKQ29" s="133"/>
      <c r="WKR29" s="133"/>
      <c r="WKS29" s="133"/>
      <c r="WKT29" s="133"/>
      <c r="WKU29" s="133"/>
      <c r="WKV29" s="133"/>
      <c r="WKW29" s="133"/>
      <c r="WKX29" s="133"/>
      <c r="WKY29" s="133"/>
      <c r="WKZ29" s="133"/>
      <c r="WLA29" s="133"/>
      <c r="WLB29" s="133"/>
      <c r="WLC29" s="133"/>
      <c r="WLD29" s="133"/>
      <c r="WLE29" s="133"/>
      <c r="WLF29" s="133"/>
      <c r="WLG29" s="133"/>
      <c r="WLH29" s="133"/>
      <c r="WLI29" s="133"/>
      <c r="WLJ29" s="133"/>
      <c r="WLK29" s="133"/>
      <c r="WLL29" s="133"/>
      <c r="WLM29" s="133"/>
      <c r="WLN29" s="133"/>
      <c r="WLO29" s="133"/>
      <c r="WLP29" s="133"/>
      <c r="WLQ29" s="133"/>
      <c r="WLR29" s="133"/>
      <c r="WLS29" s="133"/>
      <c r="WLT29" s="133"/>
      <c r="WLU29" s="133"/>
      <c r="WLV29" s="133"/>
      <c r="WLW29" s="133"/>
      <c r="WLX29" s="133"/>
      <c r="WLY29" s="133"/>
      <c r="WLZ29" s="133"/>
      <c r="WMA29" s="133"/>
      <c r="WMB29" s="133"/>
      <c r="WMC29" s="133"/>
      <c r="WMD29" s="133"/>
      <c r="WME29" s="133"/>
      <c r="WMF29" s="133"/>
      <c r="WMG29" s="133"/>
      <c r="WMH29" s="133"/>
      <c r="WMI29" s="133"/>
      <c r="WMJ29" s="133"/>
      <c r="WMK29" s="133"/>
      <c r="WML29" s="133"/>
      <c r="WMM29" s="133"/>
      <c r="WMN29" s="133"/>
      <c r="WMO29" s="133"/>
      <c r="WMP29" s="133"/>
      <c r="WMQ29" s="133"/>
      <c r="WMR29" s="133"/>
      <c r="WMS29" s="133"/>
      <c r="WMT29" s="133"/>
      <c r="WMU29" s="133"/>
      <c r="WMV29" s="133"/>
      <c r="WMW29" s="133"/>
      <c r="WMX29" s="133"/>
      <c r="WMY29" s="133"/>
      <c r="WMZ29" s="133"/>
      <c r="WNA29" s="133"/>
      <c r="WNB29" s="133"/>
      <c r="WNC29" s="133"/>
      <c r="WND29" s="133"/>
      <c r="WNE29" s="133"/>
      <c r="WNF29" s="133"/>
      <c r="WNG29" s="133"/>
      <c r="WNH29" s="133"/>
      <c r="WNI29" s="133"/>
      <c r="WNJ29" s="133"/>
      <c r="WNK29" s="133"/>
      <c r="WNL29" s="133"/>
      <c r="WNM29" s="133"/>
      <c r="WNN29" s="133"/>
      <c r="WNO29" s="133"/>
      <c r="WNP29" s="133"/>
      <c r="WNQ29" s="133"/>
      <c r="WNR29" s="133"/>
      <c r="WNS29" s="133"/>
      <c r="WNT29" s="133"/>
      <c r="WNU29" s="133"/>
      <c r="WNV29" s="133"/>
      <c r="WNW29" s="133"/>
      <c r="WNX29" s="133"/>
      <c r="WNY29" s="133"/>
      <c r="WNZ29" s="133"/>
      <c r="WOA29" s="133"/>
      <c r="WOB29" s="133"/>
      <c r="WOC29" s="133"/>
      <c r="WOD29" s="133"/>
      <c r="WOE29" s="133"/>
      <c r="WOF29" s="133"/>
      <c r="WOG29" s="133"/>
      <c r="WOH29" s="133"/>
      <c r="WOI29" s="133"/>
      <c r="WOJ29" s="133"/>
      <c r="WOK29" s="133"/>
      <c r="WOL29" s="133"/>
      <c r="WOM29" s="133"/>
      <c r="WON29" s="133"/>
      <c r="WOO29" s="133"/>
      <c r="WOP29" s="133"/>
      <c r="WOQ29" s="133"/>
      <c r="WOR29" s="133"/>
      <c r="WOS29" s="133"/>
      <c r="WOT29" s="133"/>
      <c r="WOU29" s="133"/>
      <c r="WOV29" s="133"/>
      <c r="WOW29" s="133"/>
      <c r="WOX29" s="133"/>
      <c r="WOY29" s="133"/>
      <c r="WOZ29" s="133"/>
      <c r="WPA29" s="133"/>
      <c r="WPB29" s="133"/>
      <c r="WPC29" s="133"/>
      <c r="WPD29" s="133"/>
      <c r="WPE29" s="133"/>
      <c r="WPF29" s="133"/>
      <c r="WPG29" s="133"/>
      <c r="WPH29" s="133"/>
      <c r="WPI29" s="133"/>
      <c r="WPJ29" s="133"/>
      <c r="WPK29" s="133"/>
      <c r="WPL29" s="133"/>
      <c r="WPM29" s="133"/>
      <c r="WPN29" s="133"/>
      <c r="WPO29" s="133"/>
      <c r="WPP29" s="133"/>
      <c r="WPQ29" s="133"/>
      <c r="WPR29" s="133"/>
      <c r="WPS29" s="133"/>
      <c r="WPT29" s="133"/>
      <c r="WPU29" s="133"/>
      <c r="WPV29" s="133"/>
      <c r="WPW29" s="133"/>
      <c r="WPX29" s="133"/>
      <c r="WPY29" s="133"/>
      <c r="WPZ29" s="133"/>
      <c r="WQA29" s="133"/>
      <c r="WQB29" s="133"/>
      <c r="WQC29" s="133"/>
      <c r="WQD29" s="133"/>
      <c r="WQE29" s="133"/>
      <c r="WQF29" s="133"/>
      <c r="WQG29" s="133"/>
      <c r="WQH29" s="133"/>
      <c r="WQI29" s="133"/>
      <c r="WQJ29" s="133"/>
      <c r="WQK29" s="133"/>
      <c r="WQL29" s="133"/>
      <c r="WQM29" s="133"/>
      <c r="WQN29" s="133"/>
      <c r="WQO29" s="133"/>
      <c r="WQP29" s="133"/>
      <c r="WQQ29" s="133"/>
      <c r="WQR29" s="133"/>
      <c r="WQS29" s="133"/>
      <c r="WQT29" s="133"/>
      <c r="WQU29" s="133"/>
      <c r="WQV29" s="133"/>
      <c r="WQW29" s="133"/>
      <c r="WQX29" s="133"/>
      <c r="WQY29" s="133"/>
      <c r="WQZ29" s="133"/>
      <c r="WRA29" s="133"/>
      <c r="WRB29" s="133"/>
      <c r="WRC29" s="133"/>
      <c r="WRD29" s="133"/>
      <c r="WRE29" s="133"/>
      <c r="WRF29" s="133"/>
      <c r="WRG29" s="133"/>
      <c r="WRH29" s="133"/>
      <c r="WRI29" s="133"/>
      <c r="WRJ29" s="133"/>
      <c r="WRK29" s="133"/>
      <c r="WRL29" s="133"/>
      <c r="WRM29" s="133"/>
      <c r="WRN29" s="133"/>
      <c r="WRO29" s="133"/>
      <c r="WRP29" s="133"/>
      <c r="WRQ29" s="133"/>
      <c r="WRR29" s="133"/>
      <c r="WRS29" s="133"/>
      <c r="WRT29" s="133"/>
      <c r="WRU29" s="133"/>
      <c r="WRV29" s="133"/>
      <c r="WRW29" s="133"/>
      <c r="WRX29" s="133"/>
      <c r="WRY29" s="133"/>
      <c r="WRZ29" s="133"/>
      <c r="WSA29" s="133"/>
      <c r="WSB29" s="133"/>
      <c r="WSC29" s="133"/>
      <c r="WSD29" s="133"/>
      <c r="WSE29" s="133"/>
      <c r="WSF29" s="133"/>
      <c r="WSG29" s="133"/>
      <c r="WSH29" s="133"/>
      <c r="WSI29" s="133"/>
      <c r="WSJ29" s="133"/>
      <c r="WSK29" s="133"/>
      <c r="WSL29" s="133"/>
      <c r="WSM29" s="133"/>
      <c r="WSN29" s="133"/>
      <c r="WSO29" s="133"/>
      <c r="WSP29" s="133"/>
      <c r="WSQ29" s="133"/>
      <c r="WSR29" s="133"/>
      <c r="WSS29" s="133"/>
      <c r="WST29" s="133"/>
      <c r="WSU29" s="133"/>
      <c r="WSV29" s="133"/>
      <c r="WSW29" s="133"/>
      <c r="WSX29" s="133"/>
      <c r="WSY29" s="133"/>
      <c r="WSZ29" s="133"/>
      <c r="WTA29" s="133"/>
      <c r="WTB29" s="133"/>
      <c r="WTC29" s="133"/>
      <c r="WTD29" s="133"/>
      <c r="WTE29" s="133"/>
      <c r="WTF29" s="133"/>
      <c r="WTG29" s="133"/>
      <c r="WTH29" s="133"/>
      <c r="WTI29" s="133"/>
      <c r="WTJ29" s="133"/>
      <c r="WTK29" s="133"/>
      <c r="WTL29" s="133"/>
      <c r="WTM29" s="133"/>
      <c r="WTN29" s="133"/>
      <c r="WTO29" s="133"/>
      <c r="WTP29" s="133"/>
      <c r="WTQ29" s="133"/>
      <c r="WTR29" s="133"/>
      <c r="WTS29" s="133"/>
      <c r="WTT29" s="133"/>
      <c r="WTU29" s="133"/>
      <c r="WTV29" s="133"/>
      <c r="WTW29" s="133"/>
      <c r="WTX29" s="133"/>
      <c r="WTY29" s="133"/>
      <c r="WTZ29" s="133"/>
      <c r="WUA29" s="133"/>
      <c r="WUB29" s="133"/>
      <c r="WUC29" s="133"/>
      <c r="WUD29" s="133"/>
      <c r="WUE29" s="133"/>
      <c r="WUF29" s="133"/>
      <c r="WUG29" s="133"/>
      <c r="WUH29" s="133"/>
      <c r="WUI29" s="133"/>
      <c r="WUJ29" s="133"/>
      <c r="WUK29" s="133"/>
      <c r="WUL29" s="133"/>
      <c r="WUM29" s="133"/>
      <c r="WUN29" s="133"/>
      <c r="WUO29" s="133"/>
      <c r="WUP29" s="133"/>
      <c r="WUQ29" s="133"/>
      <c r="WUR29" s="133"/>
      <c r="WUS29" s="133"/>
      <c r="WUT29" s="133"/>
      <c r="WUU29" s="133"/>
      <c r="WUV29" s="133"/>
      <c r="WUW29" s="133"/>
      <c r="WUX29" s="133"/>
      <c r="WUY29" s="133"/>
      <c r="WUZ29" s="133"/>
      <c r="WVA29" s="133"/>
      <c r="WVB29" s="133"/>
      <c r="WVC29" s="133"/>
      <c r="WVD29" s="133"/>
      <c r="WVE29" s="133"/>
      <c r="WVF29" s="133"/>
      <c r="WVG29" s="133"/>
      <c r="WVH29" s="133"/>
      <c r="WVI29" s="133"/>
      <c r="WVJ29" s="133"/>
      <c r="WVK29" s="133"/>
      <c r="WVL29" s="133"/>
      <c r="WVM29" s="133"/>
      <c r="WVN29" s="133"/>
      <c r="WVO29" s="133"/>
      <c r="WVP29" s="133"/>
      <c r="WVQ29" s="133"/>
      <c r="WVR29" s="133"/>
      <c r="WVS29" s="133"/>
      <c r="WVT29" s="133"/>
      <c r="WVU29" s="133"/>
      <c r="WVV29" s="133"/>
      <c r="WVW29" s="133"/>
      <c r="WVX29" s="133"/>
      <c r="WVY29" s="133"/>
      <c r="WVZ29" s="133"/>
      <c r="WWA29" s="133"/>
      <c r="WWB29" s="133"/>
      <c r="WWC29" s="133"/>
      <c r="WWD29" s="133"/>
      <c r="WWE29" s="133"/>
      <c r="WWF29" s="133"/>
      <c r="WWG29" s="133"/>
      <c r="WWH29" s="133"/>
      <c r="WWI29" s="133"/>
      <c r="WWJ29" s="133"/>
      <c r="WWK29" s="133"/>
      <c r="WWL29" s="133"/>
      <c r="WWM29" s="133"/>
      <c r="WWN29" s="133"/>
      <c r="WWO29" s="133"/>
      <c r="WWP29" s="133"/>
      <c r="WWQ29" s="133"/>
      <c r="WWR29" s="133"/>
      <c r="WWS29" s="133"/>
      <c r="WWT29" s="133"/>
      <c r="WWU29" s="133"/>
      <c r="WWV29" s="133"/>
      <c r="WWW29" s="133"/>
      <c r="WWX29" s="133"/>
      <c r="WWY29" s="133"/>
      <c r="WWZ29" s="133"/>
      <c r="WXA29" s="133"/>
      <c r="WXB29" s="133"/>
      <c r="WXC29" s="133"/>
      <c r="WXD29" s="133"/>
      <c r="WXE29" s="133"/>
      <c r="WXF29" s="133"/>
      <c r="WXG29" s="133"/>
      <c r="WXH29" s="133"/>
      <c r="WXI29" s="133"/>
      <c r="WXJ29" s="133"/>
      <c r="WXK29" s="133"/>
      <c r="WXL29" s="133"/>
      <c r="WXM29" s="133"/>
      <c r="WXN29" s="133"/>
      <c r="WXO29" s="133"/>
      <c r="WXP29" s="133"/>
      <c r="WXQ29" s="133"/>
      <c r="WXR29" s="133"/>
      <c r="WXS29" s="133"/>
      <c r="WXT29" s="133"/>
      <c r="WXU29" s="133"/>
      <c r="WXV29" s="133"/>
      <c r="WXW29" s="133"/>
      <c r="WXX29" s="133"/>
      <c r="WXY29" s="133"/>
      <c r="WXZ29" s="133"/>
      <c r="WYA29" s="133"/>
      <c r="WYB29" s="133"/>
      <c r="WYC29" s="133"/>
      <c r="WYD29" s="133"/>
      <c r="WYE29" s="133"/>
      <c r="WYF29" s="133"/>
      <c r="WYG29" s="133"/>
      <c r="WYH29" s="133"/>
      <c r="WYI29" s="133"/>
      <c r="WYJ29" s="133"/>
      <c r="WYK29" s="133"/>
      <c r="WYL29" s="133"/>
      <c r="WYM29" s="133"/>
      <c r="WYN29" s="133"/>
      <c r="WYO29" s="133"/>
      <c r="WYP29" s="133"/>
      <c r="WYQ29" s="133"/>
      <c r="WYR29" s="133"/>
      <c r="WYS29" s="133"/>
      <c r="WYT29" s="133"/>
      <c r="WYU29" s="133"/>
      <c r="WYV29" s="133"/>
      <c r="WYW29" s="133"/>
      <c r="WYX29" s="133"/>
      <c r="WYY29" s="133"/>
      <c r="WYZ29" s="133"/>
      <c r="WZA29" s="133"/>
      <c r="WZB29" s="133"/>
      <c r="WZC29" s="133"/>
      <c r="WZD29" s="133"/>
      <c r="WZE29" s="133"/>
      <c r="WZF29" s="133"/>
      <c r="WZG29" s="133"/>
      <c r="WZH29" s="133"/>
      <c r="WZI29" s="133"/>
      <c r="WZJ29" s="133"/>
      <c r="WZK29" s="133"/>
      <c r="WZL29" s="133"/>
      <c r="WZM29" s="133"/>
      <c r="WZN29" s="133"/>
      <c r="WZO29" s="133"/>
      <c r="WZP29" s="133"/>
      <c r="WZQ29" s="133"/>
      <c r="WZR29" s="133"/>
      <c r="WZS29" s="133"/>
      <c r="WZT29" s="133"/>
      <c r="WZU29" s="133"/>
      <c r="WZV29" s="133"/>
      <c r="WZW29" s="133"/>
      <c r="WZX29" s="133"/>
      <c r="WZY29" s="133"/>
      <c r="WZZ29" s="133"/>
      <c r="XAA29" s="133"/>
      <c r="XAB29" s="133"/>
      <c r="XAC29" s="133"/>
      <c r="XAD29" s="133"/>
      <c r="XAE29" s="133"/>
      <c r="XAF29" s="133"/>
      <c r="XAG29" s="133"/>
      <c r="XAH29" s="133"/>
      <c r="XAI29" s="133"/>
      <c r="XAJ29" s="133"/>
      <c r="XAK29" s="133"/>
      <c r="XAL29" s="133"/>
      <c r="XAM29" s="133"/>
      <c r="XAN29" s="133"/>
      <c r="XAO29" s="133"/>
      <c r="XAP29" s="133"/>
      <c r="XAQ29" s="133"/>
      <c r="XAR29" s="133"/>
      <c r="XAS29" s="133"/>
      <c r="XAT29" s="133"/>
      <c r="XAU29" s="133"/>
      <c r="XAV29" s="133"/>
      <c r="XAW29" s="133"/>
      <c r="XAX29" s="133"/>
      <c r="XAY29" s="133"/>
      <c r="XAZ29" s="133"/>
      <c r="XBA29" s="133"/>
      <c r="XBB29" s="133"/>
      <c r="XBC29" s="133"/>
      <c r="XBD29" s="133"/>
      <c r="XBE29" s="133"/>
      <c r="XBF29" s="133"/>
      <c r="XBG29" s="133"/>
      <c r="XBH29" s="133"/>
      <c r="XBI29" s="133"/>
      <c r="XBJ29" s="133"/>
      <c r="XBK29" s="133"/>
      <c r="XBL29" s="133"/>
      <c r="XBM29" s="133"/>
      <c r="XBN29" s="133"/>
      <c r="XBO29" s="133"/>
      <c r="XBP29" s="133"/>
      <c r="XBQ29" s="133"/>
      <c r="XBR29" s="133"/>
      <c r="XBS29" s="133"/>
      <c r="XBT29" s="133"/>
      <c r="XBU29" s="133"/>
      <c r="XBV29" s="133"/>
      <c r="XBW29" s="133"/>
      <c r="XBX29" s="133"/>
      <c r="XBY29" s="133"/>
      <c r="XBZ29" s="133"/>
      <c r="XCA29" s="133"/>
      <c r="XCB29" s="133"/>
      <c r="XCC29" s="133"/>
      <c r="XCD29" s="133"/>
      <c r="XCE29" s="133"/>
      <c r="XCF29" s="133"/>
      <c r="XCG29" s="133"/>
      <c r="XCH29" s="133"/>
      <c r="XCI29" s="133"/>
      <c r="XCJ29" s="133"/>
      <c r="XCK29" s="133"/>
      <c r="XCL29" s="133"/>
      <c r="XCM29" s="133"/>
      <c r="XCN29" s="133"/>
      <c r="XCO29" s="133"/>
      <c r="XCP29" s="133"/>
      <c r="XCQ29" s="133"/>
      <c r="XCR29" s="133"/>
      <c r="XCS29" s="133"/>
      <c r="XCT29" s="133"/>
      <c r="XCU29" s="133"/>
      <c r="XCV29" s="133"/>
      <c r="XCW29" s="133"/>
      <c r="XCX29" s="133"/>
      <c r="XCY29" s="133"/>
      <c r="XCZ29" s="133"/>
      <c r="XDA29" s="133"/>
      <c r="XDB29" s="133"/>
      <c r="XDC29" s="133"/>
      <c r="XDD29" s="133"/>
      <c r="XDE29" s="133"/>
      <c r="XDF29" s="133"/>
      <c r="XDG29" s="133"/>
      <c r="XDH29" s="133"/>
      <c r="XDI29" s="133"/>
      <c r="XDJ29" s="133"/>
      <c r="XDK29" s="133"/>
      <c r="XDL29" s="133"/>
      <c r="XDM29" s="133"/>
      <c r="XDN29" s="133"/>
      <c r="XDO29" s="133"/>
      <c r="XDP29" s="133"/>
      <c r="XDQ29" s="133"/>
      <c r="XDR29" s="133"/>
      <c r="XDS29" s="133"/>
      <c r="XDT29" s="133"/>
      <c r="XDU29" s="133"/>
      <c r="XDV29" s="133"/>
      <c r="XDW29" s="133"/>
      <c r="XDX29" s="133"/>
      <c r="XDY29" s="133"/>
      <c r="XDZ29" s="133"/>
      <c r="XEA29" s="133"/>
      <c r="XEB29" s="133"/>
      <c r="XEC29" s="133"/>
      <c r="XED29" s="133"/>
      <c r="XEE29" s="133"/>
      <c r="XEF29" s="133"/>
      <c r="XEG29" s="133"/>
      <c r="XEH29" s="133"/>
      <c r="XEI29" s="133"/>
      <c r="XEJ29" s="133"/>
      <c r="XEK29" s="133"/>
      <c r="XEL29" s="133"/>
      <c r="XEM29" s="133"/>
      <c r="XEN29" s="133"/>
      <c r="XEO29" s="133"/>
      <c r="XEP29" s="133"/>
      <c r="XEQ29" s="133"/>
      <c r="XER29" s="133"/>
      <c r="XES29" s="133"/>
      <c r="XET29" s="133"/>
      <c r="XEU29" s="133"/>
      <c r="XEV29" s="133"/>
      <c r="XEW29" s="133"/>
      <c r="XEX29" s="133"/>
      <c r="XEY29" s="133"/>
      <c r="XEZ29" s="133"/>
      <c r="XFA29" s="133"/>
      <c r="XFB29" s="133"/>
      <c r="XFC29" s="133"/>
      <c r="XFD29" s="133"/>
    </row>
    <row r="30" spans="1:16384" x14ac:dyDescent="0.35">
      <c r="B30" t="s">
        <v>210</v>
      </c>
      <c r="D30" s="12">
        <f t="array" ref="D30:J30">TRANSPOSE(IS!E9:E15)</f>
        <v>87738378978636</v>
      </c>
      <c r="E30" s="12">
        <v>103485046672447</v>
      </c>
      <c r="F30" s="12">
        <v>109801253690656</v>
      </c>
      <c r="G30" s="12">
        <v>124141525689948</v>
      </c>
      <c r="H30" s="12">
        <v>134722248887557</v>
      </c>
      <c r="I30" s="12">
        <v>119234184825086</v>
      </c>
      <c r="J30" s="12">
        <v>135225101298992</v>
      </c>
      <c r="K30" s="11">
        <f>SUM(K22,K24,K26)*10^9</f>
        <v>154936256105894.56</v>
      </c>
      <c r="L30" s="11">
        <f t="shared" ref="L30:P30" si="10">SUM(L22,L24,L26)*10^9</f>
        <v>179370177013364.16</v>
      </c>
      <c r="M30" s="11">
        <f t="shared" si="10"/>
        <v>204752522974229.72</v>
      </c>
      <c r="N30" s="11">
        <f t="shared" si="10"/>
        <v>234983465947007.94</v>
      </c>
      <c r="O30" s="11">
        <f t="shared" si="10"/>
        <v>275794307807230.16</v>
      </c>
      <c r="P30" s="11">
        <f t="shared" si="10"/>
        <v>340111749018785.44</v>
      </c>
    </row>
    <row r="31" spans="1:16384" x14ac:dyDescent="0.35">
      <c r="B31" t="s">
        <v>47</v>
      </c>
      <c r="E31" s="14">
        <f t="shared" ref="E31:J31" si="11">E30/D30-1</f>
        <v>0.17947297268445395</v>
      </c>
      <c r="F31" s="14">
        <f t="shared" si="11"/>
        <v>6.1034972890346095E-2</v>
      </c>
      <c r="G31" s="14">
        <f t="shared" si="11"/>
        <v>0.13060207891335174</v>
      </c>
      <c r="H31" s="14">
        <f t="shared" si="11"/>
        <v>8.5231135502837896E-2</v>
      </c>
      <c r="I31" s="14">
        <f t="shared" si="11"/>
        <v>-0.11496292698764088</v>
      </c>
      <c r="J31" s="14">
        <f t="shared" si="11"/>
        <v>0.13411352203534865</v>
      </c>
      <c r="K31" s="24">
        <f>CHOOSE($C$17,K35,K36,K37)</f>
        <v>0.14576550224443796</v>
      </c>
      <c r="L31" s="24">
        <f t="shared" ref="L31:P31" si="12">CHOOSE($C$17,L35,L36,L37)</f>
        <v>0.15770305493098857</v>
      </c>
      <c r="M31" s="24">
        <f t="shared" si="12"/>
        <v>0.14150817255966941</v>
      </c>
      <c r="N31" s="24">
        <f t="shared" si="12"/>
        <v>0.14764625379772789</v>
      </c>
      <c r="O31" s="24">
        <f t="shared" si="12"/>
        <v>0.17367537624721918</v>
      </c>
      <c r="P31" s="24">
        <f t="shared" si="12"/>
        <v>0.233208008254147</v>
      </c>
    </row>
    <row r="32" spans="1:16384" x14ac:dyDescent="0.35">
      <c r="E32" s="14"/>
      <c r="F32" s="14"/>
      <c r="G32" s="14"/>
      <c r="H32" s="14"/>
      <c r="I32" s="14"/>
      <c r="J32" s="14"/>
      <c r="K32" s="24"/>
      <c r="L32" s="24"/>
      <c r="M32" s="24"/>
      <c r="N32" s="24"/>
      <c r="O32" s="24"/>
      <c r="P32" s="24"/>
    </row>
    <row r="33" spans="2:16" x14ac:dyDescent="0.35">
      <c r="B33" t="s">
        <v>206</v>
      </c>
      <c r="D33" s="101">
        <f t="array" ref="D33:J33">TRANSPOSE(IS!L9:L15)</f>
        <v>86516287002499</v>
      </c>
      <c r="E33" s="101">
        <v>102174243976723</v>
      </c>
      <c r="F33" s="101">
        <v>108546019665412</v>
      </c>
      <c r="G33" s="101">
        <v>122958106103174</v>
      </c>
      <c r="H33" s="101">
        <v>133404777590524</v>
      </c>
      <c r="I33" s="101">
        <v>118279788455442</v>
      </c>
      <c r="J33" s="101">
        <v>134341152848802</v>
      </c>
      <c r="K33" s="93">
        <f t="shared" ref="K33:P33" si="13">J33*(1+K36)</f>
        <v>153923458465904.44</v>
      </c>
      <c r="L33" s="93">
        <f t="shared" si="13"/>
        <v>178197658091520.72</v>
      </c>
      <c r="M33" s="93">
        <f t="shared" si="13"/>
        <v>203414083042464.59</v>
      </c>
      <c r="N33" s="93">
        <f t="shared" si="13"/>
        <v>233447410373384.41</v>
      </c>
      <c r="O33" s="93">
        <f t="shared" si="13"/>
        <v>273991477203920.91</v>
      </c>
      <c r="P33" s="93">
        <f t="shared" si="13"/>
        <v>337888483881258.81</v>
      </c>
    </row>
    <row r="34" spans="2:16" x14ac:dyDescent="0.35">
      <c r="B34" t="s">
        <v>47</v>
      </c>
      <c r="E34" s="14">
        <f>E33/D33 -1</f>
        <v>0.18098276656014756</v>
      </c>
      <c r="F34" s="14">
        <f t="shared" ref="F34:I34" si="14">F33/E33 -1</f>
        <v>6.2361857946711119E-2</v>
      </c>
      <c r="G34" s="14">
        <f t="shared" si="14"/>
        <v>0.132773974413678</v>
      </c>
      <c r="H34" s="14">
        <f t="shared" si="14"/>
        <v>8.4961226375625865E-2</v>
      </c>
      <c r="I34" s="14">
        <f t="shared" si="14"/>
        <v>-0.11337666767457932</v>
      </c>
      <c r="J34" s="14">
        <f>J33/I33 -1</f>
        <v>0.13579128440367971</v>
      </c>
      <c r="K34" s="24">
        <f>CHOOSE($C$17,K35,K36,K37)</f>
        <v>0.14576550224443796</v>
      </c>
      <c r="L34" s="24">
        <f t="shared" ref="L34:P34" si="15">CHOOSE($C$17,L35,L36,L37)</f>
        <v>0.15770305493098857</v>
      </c>
      <c r="M34" s="24">
        <f t="shared" si="15"/>
        <v>0.14150817255966941</v>
      </c>
      <c r="N34" s="24">
        <f t="shared" si="15"/>
        <v>0.14764625379772789</v>
      </c>
      <c r="O34" s="24">
        <f t="shared" si="15"/>
        <v>0.17367537624721918</v>
      </c>
      <c r="P34" s="24">
        <f t="shared" si="15"/>
        <v>0.233208008254147</v>
      </c>
    </row>
    <row r="35" spans="2:16" x14ac:dyDescent="0.35">
      <c r="B35" s="19" t="s">
        <v>135</v>
      </c>
      <c r="E35" s="14"/>
      <c r="F35" s="14"/>
      <c r="G35" s="14"/>
      <c r="H35" s="14"/>
      <c r="I35" s="14"/>
      <c r="J35" s="14"/>
      <c r="K35" s="23">
        <f>$F$17*K36</f>
        <v>0.13118895201999417</v>
      </c>
      <c r="L35" s="23">
        <f t="shared" ref="L35:P35" si="16">$F$17*L36</f>
        <v>0.14193274943788972</v>
      </c>
      <c r="M35" s="23">
        <f t="shared" si="16"/>
        <v>0.12735735530370249</v>
      </c>
      <c r="N35" s="23">
        <f t="shared" si="16"/>
        <v>0.13288162841795512</v>
      </c>
      <c r="O35" s="23">
        <f t="shared" si="16"/>
        <v>0.15630783862249728</v>
      </c>
      <c r="P35" s="23">
        <f t="shared" si="16"/>
        <v>0.20988720742873232</v>
      </c>
    </row>
    <row r="36" spans="2:16" x14ac:dyDescent="0.35">
      <c r="B36" s="19" t="s">
        <v>136</v>
      </c>
      <c r="E36" s="14"/>
      <c r="F36" s="14"/>
      <c r="G36" s="14"/>
      <c r="H36" s="14"/>
      <c r="I36" s="14"/>
      <c r="J36" s="14"/>
      <c r="K36" s="23">
        <f>K30/J30-1</f>
        <v>0.14576550224443796</v>
      </c>
      <c r="L36" s="23">
        <f t="shared" ref="L36:P36" si="17">L30/K30-1</f>
        <v>0.15770305493098857</v>
      </c>
      <c r="M36" s="23">
        <f t="shared" si="17"/>
        <v>0.14150817255966941</v>
      </c>
      <c r="N36" s="23">
        <f t="shared" si="17"/>
        <v>0.14764625379772789</v>
      </c>
      <c r="O36" s="23">
        <f t="shared" si="17"/>
        <v>0.17367537624721918</v>
      </c>
      <c r="P36" s="23">
        <f t="shared" si="17"/>
        <v>0.233208008254147</v>
      </c>
    </row>
    <row r="37" spans="2:16" x14ac:dyDescent="0.35">
      <c r="B37" s="19" t="s">
        <v>137</v>
      </c>
      <c r="E37" s="14"/>
      <c r="F37" s="14"/>
      <c r="G37" s="14"/>
      <c r="H37" s="14"/>
      <c r="I37" s="14"/>
      <c r="J37" s="14"/>
      <c r="K37" s="23">
        <f t="shared" ref="K37:P37" si="18">$L$17*K36</f>
        <v>0.15305377735665987</v>
      </c>
      <c r="L37" s="23">
        <f t="shared" si="18"/>
        <v>0.16558820767753801</v>
      </c>
      <c r="M37" s="23">
        <f t="shared" si="18"/>
        <v>0.14858358118765289</v>
      </c>
      <c r="N37" s="23">
        <f t="shared" si="18"/>
        <v>0.15502856648761429</v>
      </c>
      <c r="O37" s="23">
        <f t="shared" si="18"/>
        <v>0.18235914505958015</v>
      </c>
      <c r="P37" s="23">
        <f t="shared" si="18"/>
        <v>0.24486840866685436</v>
      </c>
    </row>
    <row r="38" spans="2:16" x14ac:dyDescent="0.35">
      <c r="E38" s="9"/>
      <c r="F38" s="9"/>
      <c r="G38" s="9"/>
      <c r="H38" s="9"/>
      <c r="I38" s="9"/>
      <c r="J38" s="9"/>
    </row>
    <row r="39" spans="2:16" x14ac:dyDescent="0.35">
      <c r="B39" t="s">
        <v>80</v>
      </c>
      <c r="D39" s="12">
        <f t="array" ref="D39:J39">TRANSPOSE(IS!N9:N15)</f>
        <v>15292127763064</v>
      </c>
      <c r="E39" s="12">
        <v>19487799303711</v>
      </c>
      <c r="F39" s="12">
        <v>23954497272463</v>
      </c>
      <c r="G39" s="12">
        <v>27632131995534</v>
      </c>
      <c r="H39" s="12">
        <v>30862042496181</v>
      </c>
      <c r="I39" s="12">
        <v>22520613163730</v>
      </c>
      <c r="J39" s="12">
        <v>27499210077021</v>
      </c>
      <c r="K39" s="7">
        <f t="shared" ref="K39:P39" si="19">K30*K40</f>
        <v>31533301449347.297</v>
      </c>
      <c r="L39" s="7">
        <f t="shared" si="19"/>
        <v>37255249528391.328</v>
      </c>
      <c r="M39" s="7">
        <f t="shared" si="19"/>
        <v>43094196841313.242</v>
      </c>
      <c r="N39" s="7">
        <f t="shared" si="19"/>
        <v>49198658318477.086</v>
      </c>
      <c r="O39" s="7">
        <f t="shared" si="19"/>
        <v>57222593349082.344</v>
      </c>
      <c r="P39" s="7">
        <f t="shared" si="19"/>
        <v>69518058914083.758</v>
      </c>
    </row>
    <row r="40" spans="2:16" x14ac:dyDescent="0.35">
      <c r="B40" t="s">
        <v>49</v>
      </c>
      <c r="D40" s="14">
        <f t="shared" ref="D40:J40" si="20">D39/D30</f>
        <v>0.17429234436605651</v>
      </c>
      <c r="E40" s="14">
        <f t="shared" si="20"/>
        <v>0.18831512310560369</v>
      </c>
      <c r="F40" s="14">
        <f t="shared" si="20"/>
        <v>0.2181623293660217</v>
      </c>
      <c r="G40" s="14">
        <f t="shared" si="20"/>
        <v>0.22258572900535434</v>
      </c>
      <c r="H40" s="14">
        <f t="shared" si="20"/>
        <v>0.22907903298095428</v>
      </c>
      <c r="I40" s="14">
        <f t="shared" si="20"/>
        <v>0.18887715126972401</v>
      </c>
      <c r="J40" s="14">
        <f t="shared" si="20"/>
        <v>0.20335876854858739</v>
      </c>
      <c r="K40" s="10">
        <f>AVERAGE(D40:J40)</f>
        <v>0.20352435409175743</v>
      </c>
      <c r="L40" s="10">
        <f t="shared" ref="L40:P40" si="21">AVERAGE(E40:K40)</f>
        <v>0.20770035548114327</v>
      </c>
      <c r="M40" s="10">
        <f t="shared" si="21"/>
        <v>0.21046967439193462</v>
      </c>
      <c r="N40" s="10">
        <f t="shared" si="21"/>
        <v>0.20937072368135073</v>
      </c>
      <c r="O40" s="10">
        <f t="shared" si="21"/>
        <v>0.20748286577792166</v>
      </c>
      <c r="P40" s="10">
        <f t="shared" si="21"/>
        <v>0.20439769903463129</v>
      </c>
    </row>
    <row r="42" spans="2:16" x14ac:dyDescent="0.35">
      <c r="B42" t="s">
        <v>48</v>
      </c>
      <c r="D42" s="12">
        <f t="array" ref="D42:J42">TRANSPOSE(IS!S9:S15)</f>
        <v>3774182412336</v>
      </c>
      <c r="E42" s="12">
        <v>5034683431577</v>
      </c>
      <c r="F42" s="12">
        <v>5412529932954</v>
      </c>
      <c r="G42" s="12">
        <v>6465606918356</v>
      </c>
      <c r="H42" s="12">
        <v>6574693698580</v>
      </c>
      <c r="I42" s="12">
        <v>1047068353997</v>
      </c>
      <c r="J42" s="12">
        <v>5227045424891</v>
      </c>
      <c r="K42" s="11">
        <f t="shared" ref="K42:P42" si="22">K30*K43</f>
        <v>6402893927132.6514</v>
      </c>
      <c r="L42" s="11">
        <f t="shared" si="22"/>
        <v>7369336212002.3701</v>
      </c>
      <c r="M42" s="11">
        <f t="shared" si="22"/>
        <v>8190825849503.6777</v>
      </c>
      <c r="N42" s="11">
        <f t="shared" si="22"/>
        <v>9088302543777.9902</v>
      </c>
      <c r="O42" s="11">
        <f t="shared" si="22"/>
        <v>10138523585939.027</v>
      </c>
      <c r="P42" s="11">
        <f t="shared" si="22"/>
        <v>11917884072185.932</v>
      </c>
    </row>
    <row r="43" spans="2:16" x14ac:dyDescent="0.35">
      <c r="B43" t="s">
        <v>49</v>
      </c>
      <c r="D43" s="125">
        <f t="shared" ref="D43:J43" si="23">D42/D30</f>
        <v>4.3016322574810743E-2</v>
      </c>
      <c r="E43" s="125">
        <f t="shared" si="23"/>
        <v>4.8651313339142452E-2</v>
      </c>
      <c r="F43" s="126">
        <f t="shared" si="23"/>
        <v>4.9293880998870616E-2</v>
      </c>
      <c r="G43" s="126">
        <f t="shared" si="23"/>
        <v>5.2082547579641467E-2</v>
      </c>
      <c r="H43" s="126">
        <f t="shared" si="23"/>
        <v>4.880184047452641E-2</v>
      </c>
      <c r="I43" s="126">
        <f t="shared" si="23"/>
        <v>8.7816120480299076E-3</v>
      </c>
      <c r="J43" s="126">
        <f t="shared" si="23"/>
        <v>3.8654401991044862E-2</v>
      </c>
      <c r="K43" s="27">
        <f>CHOOSE($C$17,K44,K45,K46)</f>
        <v>4.1325988429438062E-2</v>
      </c>
      <c r="L43" s="27">
        <f t="shared" ref="L43:P43" si="24">CHOOSE($C$17,L44,L45,L46)</f>
        <v>4.108451212295626E-2</v>
      </c>
      <c r="M43" s="27">
        <f t="shared" si="24"/>
        <v>4.0003540520643942E-2</v>
      </c>
      <c r="N43" s="27">
        <f t="shared" si="24"/>
        <v>3.8676349023754421E-2</v>
      </c>
      <c r="O43" s="27">
        <f t="shared" si="24"/>
        <v>3.6761177801484843E-2</v>
      </c>
      <c r="P43" s="27">
        <f t="shared" si="24"/>
        <v>3.5041083133907469E-2</v>
      </c>
    </row>
    <row r="44" spans="2:16" x14ac:dyDescent="0.35">
      <c r="B44" s="19" t="s">
        <v>135</v>
      </c>
      <c r="D44" s="125"/>
      <c r="E44" s="125"/>
      <c r="F44" s="126"/>
      <c r="G44" s="126"/>
      <c r="H44" s="126"/>
      <c r="I44" s="126"/>
      <c r="J44" s="126"/>
      <c r="K44" s="127">
        <f>K45*$F$17</f>
        <v>3.7193389586494256E-2</v>
      </c>
      <c r="L44" s="127">
        <f t="shared" ref="L44:P44" si="25">L45*$F$17</f>
        <v>3.6976060910660635E-2</v>
      </c>
      <c r="M44" s="127">
        <f t="shared" si="25"/>
        <v>3.600318646857955E-2</v>
      </c>
      <c r="N44" s="127">
        <f t="shared" si="25"/>
        <v>3.4808714121378981E-2</v>
      </c>
      <c r="O44" s="127">
        <f t="shared" si="25"/>
        <v>3.3085060021336363E-2</v>
      </c>
      <c r="P44" s="127">
        <f t="shared" si="25"/>
        <v>3.1536974820516726E-2</v>
      </c>
    </row>
    <row r="45" spans="2:16" x14ac:dyDescent="0.35">
      <c r="B45" s="19" t="s">
        <v>136</v>
      </c>
      <c r="D45" s="125"/>
      <c r="E45" s="125"/>
      <c r="F45" s="126"/>
      <c r="G45" s="126"/>
      <c r="H45" s="126"/>
      <c r="I45" s="126"/>
      <c r="J45" s="126"/>
      <c r="K45" s="127">
        <f t="shared" ref="K45:P45" si="26">AVERAGE(D43:J43)</f>
        <v>4.1325988429438062E-2</v>
      </c>
      <c r="L45" s="127">
        <f t="shared" si="26"/>
        <v>4.108451212295626E-2</v>
      </c>
      <c r="M45" s="127">
        <f t="shared" si="26"/>
        <v>4.0003540520643942E-2</v>
      </c>
      <c r="N45" s="127">
        <f t="shared" si="26"/>
        <v>3.8676349023754421E-2</v>
      </c>
      <c r="O45" s="127">
        <f t="shared" si="26"/>
        <v>3.6761177801484843E-2</v>
      </c>
      <c r="P45" s="127">
        <f t="shared" si="26"/>
        <v>3.5041083133907469E-2</v>
      </c>
    </row>
    <row r="46" spans="2:16" x14ac:dyDescent="0.35">
      <c r="B46" s="19" t="s">
        <v>137</v>
      </c>
      <c r="D46" s="125"/>
      <c r="E46" s="125"/>
      <c r="F46" s="126"/>
      <c r="G46" s="126"/>
      <c r="H46" s="126"/>
      <c r="I46" s="126"/>
      <c r="J46" s="126"/>
      <c r="K46" s="127">
        <f>K45*$L$17</f>
        <v>4.3392287850909969E-2</v>
      </c>
      <c r="L46" s="127">
        <f t="shared" ref="L46:P46" si="27">L45*$L$17</f>
        <v>4.3138737729104072E-2</v>
      </c>
      <c r="M46" s="127">
        <f t="shared" si="27"/>
        <v>4.2003717546676138E-2</v>
      </c>
      <c r="N46" s="127">
        <f t="shared" si="27"/>
        <v>4.0610166474942144E-2</v>
      </c>
      <c r="O46" s="127">
        <f t="shared" si="27"/>
        <v>3.859923669155909E-2</v>
      </c>
      <c r="P46" s="127">
        <f t="shared" si="27"/>
        <v>3.6793137290602844E-2</v>
      </c>
    </row>
    <row r="48" spans="2:16" x14ac:dyDescent="0.35">
      <c r="B48" t="s">
        <v>50</v>
      </c>
      <c r="D48" s="12">
        <f t="array" ref="D48:J48">ABS(TRANSPOSE(IS!X9:X15))</f>
        <v>933836738446</v>
      </c>
      <c r="E48" s="12">
        <v>1248353081834</v>
      </c>
      <c r="F48" s="12">
        <v>1598413821219</v>
      </c>
      <c r="G48" s="12">
        <v>1632975695694</v>
      </c>
      <c r="H48" s="12">
        <v>1792998810102</v>
      </c>
      <c r="I48" s="12">
        <v>433257176515</v>
      </c>
      <c r="J48" s="12">
        <v>1282537116919</v>
      </c>
      <c r="K48" s="11">
        <f>K42*K49</f>
        <v>1806638591001.208</v>
      </c>
      <c r="L48" s="11">
        <f t="shared" ref="L48:P48" si="28">L42*L49</f>
        <v>2115894334043.3601</v>
      </c>
      <c r="M48" s="11">
        <f t="shared" si="28"/>
        <v>2397596030542.6504</v>
      </c>
      <c r="N48" s="11">
        <f t="shared" si="28"/>
        <v>2656927200825.1255</v>
      </c>
      <c r="O48" s="11">
        <f t="shared" si="28"/>
        <v>3021574196067.4531</v>
      </c>
      <c r="P48" s="11">
        <f t="shared" si="28"/>
        <v>3594978611629.9785</v>
      </c>
    </row>
    <row r="49" spans="1:16" x14ac:dyDescent="0.35">
      <c r="B49" t="s">
        <v>51</v>
      </c>
      <c r="D49" s="17">
        <f t="shared" ref="D49:J49" si="29">D48/D42</f>
        <v>0.24742755818948592</v>
      </c>
      <c r="E49" s="17">
        <f t="shared" si="29"/>
        <v>0.24795066041381311</v>
      </c>
      <c r="F49" s="14">
        <f t="shared" si="29"/>
        <v>0.29531731759802621</v>
      </c>
      <c r="G49" s="14">
        <f t="shared" si="29"/>
        <v>0.25256340453638559</v>
      </c>
      <c r="H49" s="14">
        <f t="shared" si="29"/>
        <v>0.27271214330323118</v>
      </c>
      <c r="I49" s="14">
        <f t="shared" si="29"/>
        <v>0.41378117757175703</v>
      </c>
      <c r="J49" s="14">
        <f t="shared" si="29"/>
        <v>0.24536559617630352</v>
      </c>
      <c r="K49" s="10">
        <f>AVERAGE(D49:J49)</f>
        <v>0.28215969396985752</v>
      </c>
      <c r="L49" s="10">
        <f t="shared" ref="L49:P49" si="30">AVERAGE(E49:K49)</f>
        <v>0.28712142765276777</v>
      </c>
      <c r="M49" s="10">
        <f t="shared" si="30"/>
        <v>0.29271725154404699</v>
      </c>
      <c r="N49" s="10">
        <f t="shared" si="30"/>
        <v>0.29234581353633565</v>
      </c>
      <c r="O49" s="10">
        <f t="shared" si="30"/>
        <v>0.2980290148220428</v>
      </c>
      <c r="P49" s="10">
        <f t="shared" si="30"/>
        <v>0.30164571075330165</v>
      </c>
    </row>
    <row r="51" spans="1:16" x14ac:dyDescent="0.35">
      <c r="B51" t="s">
        <v>52</v>
      </c>
      <c r="D51" s="13">
        <f t="shared" ref="D51:J51" si="31">D42-D48</f>
        <v>2840345673890</v>
      </c>
      <c r="E51" s="13">
        <f t="shared" si="31"/>
        <v>3786330349743</v>
      </c>
      <c r="F51" s="13">
        <f t="shared" si="31"/>
        <v>3814116111735</v>
      </c>
      <c r="G51" s="13">
        <f t="shared" si="31"/>
        <v>4832631222662</v>
      </c>
      <c r="H51" s="13">
        <f t="shared" si="31"/>
        <v>4781694888478</v>
      </c>
      <c r="I51" s="13">
        <f t="shared" si="31"/>
        <v>613811177482</v>
      </c>
      <c r="J51" s="13">
        <f t="shared" si="31"/>
        <v>3944508307972</v>
      </c>
      <c r="K51" s="11">
        <f>K30*K52</f>
        <v>4596255336131.4434</v>
      </c>
      <c r="L51" s="11">
        <f t="shared" ref="L51:P51" si="32">L30*L52</f>
        <v>5253441877959.0098</v>
      </c>
      <c r="M51" s="11">
        <f t="shared" si="32"/>
        <v>5793229818961.0273</v>
      </c>
      <c r="N51" s="11">
        <f t="shared" si="32"/>
        <v>6431375342952.8652</v>
      </c>
      <c r="O51" s="11">
        <f>O30*O52</f>
        <v>7116949389871.5742</v>
      </c>
      <c r="P51" s="11">
        <f t="shared" si="32"/>
        <v>8322905460555.9531</v>
      </c>
    </row>
    <row r="52" spans="1:16" x14ac:dyDescent="0.35">
      <c r="B52" t="s">
        <v>53</v>
      </c>
      <c r="D52" s="125">
        <f t="shared" ref="D52:J52" si="33">D51/D30</f>
        <v>3.2372898917834063E-2</v>
      </c>
      <c r="E52" s="125">
        <f t="shared" si="33"/>
        <v>3.6588188066702727E-2</v>
      </c>
      <c r="F52" s="126">
        <f t="shared" si="33"/>
        <v>3.4736544288287832E-2</v>
      </c>
      <c r="G52" s="126">
        <f t="shared" si="33"/>
        <v>3.8928402045998928E-2</v>
      </c>
      <c r="H52" s="126">
        <f t="shared" si="33"/>
        <v>3.5492985961575935E-2</v>
      </c>
      <c r="I52" s="126">
        <f t="shared" si="33"/>
        <v>5.1479462738177632E-3</v>
      </c>
      <c r="J52" s="126">
        <f t="shared" si="33"/>
        <v>2.916994160167365E-2</v>
      </c>
      <c r="K52" s="35">
        <f>CHOOSE($C$17,K53,K54,K55)</f>
        <v>2.9665460181185949E-2</v>
      </c>
      <c r="L52" s="35">
        <f t="shared" ref="L52:P52" si="34">CHOOSE($C$17,L53,L54,L55)</f>
        <v>2.9288268347795614E-2</v>
      </c>
      <c r="M52" s="35">
        <f t="shared" si="34"/>
        <v>2.8293814087410132E-2</v>
      </c>
      <c r="N52" s="35">
        <f t="shared" si="34"/>
        <v>2.7369480303789672E-2</v>
      </c>
      <c r="O52" s="35">
        <f t="shared" si="34"/>
        <v>2.5805280197610365E-2</v>
      </c>
      <c r="P52" s="35">
        <f t="shared" si="34"/>
        <v>2.4471090706414417E-2</v>
      </c>
    </row>
    <row r="53" spans="1:16" x14ac:dyDescent="0.35">
      <c r="B53" s="19" t="s">
        <v>135</v>
      </c>
      <c r="D53" s="17"/>
      <c r="E53" s="17"/>
      <c r="F53" s="14"/>
      <c r="G53" s="14"/>
      <c r="H53" s="14"/>
      <c r="I53" s="14"/>
      <c r="J53" s="14"/>
      <c r="K53" s="128">
        <f>K54*$F$17</f>
        <v>2.6698914163067355E-2</v>
      </c>
      <c r="L53" s="128">
        <f t="shared" ref="L53:P53" si="35">L54*$F$17</f>
        <v>2.6359441513016054E-2</v>
      </c>
      <c r="M53" s="128">
        <f t="shared" si="35"/>
        <v>2.546443267866912E-2</v>
      </c>
      <c r="N53" s="128">
        <f t="shared" si="35"/>
        <v>2.4632532273410706E-2</v>
      </c>
      <c r="O53" s="128">
        <f t="shared" si="35"/>
        <v>2.322475217784933E-2</v>
      </c>
      <c r="P53" s="128">
        <f t="shared" si="35"/>
        <v>2.2023981635772977E-2</v>
      </c>
    </row>
    <row r="54" spans="1:16" x14ac:dyDescent="0.35">
      <c r="B54" s="19" t="s">
        <v>136</v>
      </c>
      <c r="D54" s="17"/>
      <c r="E54" s="17"/>
      <c r="F54" s="14"/>
      <c r="G54" s="14"/>
      <c r="H54" s="14"/>
      <c r="I54" s="14"/>
      <c r="J54" s="14"/>
      <c r="K54" s="128">
        <f>(K42-K48)/K30</f>
        <v>2.9665460181185949E-2</v>
      </c>
      <c r="L54" s="128">
        <f t="shared" ref="L54:P54" si="36">(L42-L48)/L30</f>
        <v>2.9288268347795614E-2</v>
      </c>
      <c r="M54" s="128">
        <f t="shared" si="36"/>
        <v>2.8293814087410132E-2</v>
      </c>
      <c r="N54" s="128">
        <f t="shared" si="36"/>
        <v>2.7369480303789672E-2</v>
      </c>
      <c r="O54" s="128">
        <f t="shared" si="36"/>
        <v>2.5805280197610365E-2</v>
      </c>
      <c r="P54" s="128">
        <f t="shared" si="36"/>
        <v>2.4471090706414417E-2</v>
      </c>
    </row>
    <row r="55" spans="1:16" x14ac:dyDescent="0.35">
      <c r="B55" s="19" t="s">
        <v>137</v>
      </c>
      <c r="D55" s="17"/>
      <c r="E55" s="17"/>
      <c r="F55" s="14"/>
      <c r="G55" s="14"/>
      <c r="H55" s="130"/>
      <c r="I55" s="129"/>
      <c r="J55" s="14"/>
      <c r="K55" s="128">
        <f>K54*$L$17</f>
        <v>3.1148733190245248E-2</v>
      </c>
      <c r="L55" s="128">
        <f t="shared" ref="L55:P55" si="37">L54*$L$17</f>
        <v>3.0752681765185398E-2</v>
      </c>
      <c r="M55" s="128">
        <f t="shared" si="37"/>
        <v>2.9708504791780641E-2</v>
      </c>
      <c r="N55" s="128">
        <f t="shared" si="37"/>
        <v>2.8737954318979159E-2</v>
      </c>
      <c r="O55" s="128">
        <f t="shared" si="37"/>
        <v>2.7095544207490885E-2</v>
      </c>
      <c r="P55" s="128">
        <f t="shared" si="37"/>
        <v>2.5694645241735141E-2</v>
      </c>
    </row>
    <row r="56" spans="1:16" x14ac:dyDescent="0.35">
      <c r="B56" s="19"/>
      <c r="D56" s="17"/>
      <c r="E56" s="17"/>
      <c r="F56" s="14"/>
      <c r="G56" s="14"/>
      <c r="H56" s="130"/>
      <c r="I56" s="129"/>
      <c r="J56" s="14"/>
      <c r="K56" s="139"/>
      <c r="L56" s="139"/>
      <c r="M56" s="139"/>
      <c r="N56" s="139"/>
      <c r="O56" s="139"/>
      <c r="P56" s="139"/>
    </row>
    <row r="57" spans="1:16" x14ac:dyDescent="0.35">
      <c r="B57" s="19" t="s">
        <v>240</v>
      </c>
      <c r="D57" s="138">
        <f t="array" ref="D57:J57">-TRANSPOSE(IS!I9:I15)</f>
        <v>436416577674</v>
      </c>
      <c r="E57" s="138">
        <v>568136717134</v>
      </c>
      <c r="F57" s="93">
        <v>594003821021</v>
      </c>
      <c r="G57" s="93">
        <v>674427746189</v>
      </c>
      <c r="H57" s="93">
        <v>1362143909103</v>
      </c>
      <c r="I57" s="93">
        <v>1447718354797</v>
      </c>
      <c r="J57" s="93">
        <v>1137236129748</v>
      </c>
      <c r="K57" s="90">
        <f>K30*K58</f>
        <v>1150272380257.4072</v>
      </c>
      <c r="L57" s="90">
        <f>L30*L58</f>
        <v>1394455929475.1233</v>
      </c>
      <c r="M57" s="90">
        <f>M30*M58</f>
        <v>1658594832413.0747</v>
      </c>
      <c r="N57" s="90">
        <f>N30*N58</f>
        <v>1993803639470.5354</v>
      </c>
      <c r="O57" s="90">
        <f>O30*O58</f>
        <v>2460329870642.2759</v>
      </c>
      <c r="P57" s="90">
        <f>P30*P58</f>
        <v>2976285825461.8569</v>
      </c>
    </row>
    <row r="58" spans="1:16" x14ac:dyDescent="0.35">
      <c r="B58" s="19" t="s">
        <v>53</v>
      </c>
      <c r="D58" s="125">
        <f>D57/D30</f>
        <v>4.9740670246513899E-3</v>
      </c>
      <c r="E58" s="125">
        <f>E57/E30</f>
        <v>5.4900368256321904E-3</v>
      </c>
      <c r="F58" s="125">
        <f>F57/F30</f>
        <v>5.4098090964834703E-3</v>
      </c>
      <c r="G58" s="125">
        <f>G57/G30</f>
        <v>5.4327328622771212E-3</v>
      </c>
      <c r="H58" s="125">
        <f>H57/H30</f>
        <v>1.011075691172498E-2</v>
      </c>
      <c r="I58" s="125">
        <f>I57/I30</f>
        <v>1.2141806118109265E-2</v>
      </c>
      <c r="J58" s="125">
        <f>J57/J30</f>
        <v>8.4099484402196355E-3</v>
      </c>
      <c r="K58" s="139">
        <f>AVERAGE(D58:J58)</f>
        <v>7.4241653255854361E-3</v>
      </c>
      <c r="L58" s="139">
        <f t="shared" ref="L58:P58" si="38">AVERAGE(E58:K58)</f>
        <v>7.7741793685760143E-3</v>
      </c>
      <c r="M58" s="139">
        <f t="shared" si="38"/>
        <v>8.1004854461394181E-3</v>
      </c>
      <c r="N58" s="139">
        <f t="shared" si="38"/>
        <v>8.4848677818045552E-3</v>
      </c>
      <c r="O58" s="139">
        <f t="shared" si="38"/>
        <v>8.9208870560227582E-3</v>
      </c>
      <c r="P58" s="139">
        <f t="shared" si="38"/>
        <v>8.7509056480652991E-3</v>
      </c>
    </row>
    <row r="59" spans="1:16" x14ac:dyDescent="0.35">
      <c r="B59" s="19"/>
      <c r="D59" s="17"/>
      <c r="E59" s="17"/>
      <c r="F59" s="14"/>
      <c r="G59" s="14"/>
      <c r="H59" s="130"/>
      <c r="I59" s="129"/>
      <c r="J59" s="14"/>
      <c r="K59" s="139"/>
      <c r="L59" s="139"/>
      <c r="M59" s="139"/>
      <c r="N59" s="139"/>
      <c r="O59" s="139"/>
      <c r="P59" s="139"/>
    </row>
    <row r="60" spans="1:16" x14ac:dyDescent="0.35">
      <c r="B60" s="19" t="s">
        <v>178</v>
      </c>
      <c r="D60" s="140">
        <f>D51-D57</f>
        <v>2403929096216</v>
      </c>
      <c r="E60" s="140">
        <f>E51-E57</f>
        <v>3218193632609</v>
      </c>
      <c r="F60" s="140">
        <f>F51-F57</f>
        <v>3220112290714</v>
      </c>
      <c r="G60" s="140">
        <f>G51-G57</f>
        <v>4158203476473</v>
      </c>
      <c r="H60" s="140">
        <f>H51-H57</f>
        <v>3419550979375</v>
      </c>
      <c r="I60" s="140">
        <f>I51-I57</f>
        <v>-833907177315</v>
      </c>
      <c r="J60" s="140">
        <f>J51-J57</f>
        <v>2807272178224</v>
      </c>
      <c r="K60" s="141">
        <f>K51-K57</f>
        <v>3445982955874.0361</v>
      </c>
      <c r="L60" s="141">
        <f>L51-L57</f>
        <v>3858985948483.8867</v>
      </c>
      <c r="M60" s="141">
        <f>M51-M57</f>
        <v>4134634986547.9526</v>
      </c>
      <c r="N60" s="141">
        <f>N51-N57</f>
        <v>4437571703482.3301</v>
      </c>
      <c r="O60" s="141">
        <f>O51-O57</f>
        <v>4656619519229.2988</v>
      </c>
      <c r="P60" s="141">
        <f>P51-P57</f>
        <v>5346619635094.0957</v>
      </c>
    </row>
    <row r="61" spans="1:16" x14ac:dyDescent="0.35">
      <c r="B61" s="19" t="s">
        <v>53</v>
      </c>
      <c r="D61" s="125">
        <f>D60/D30</f>
        <v>2.7398831893182669E-2</v>
      </c>
      <c r="E61" s="125">
        <f>E60/E30</f>
        <v>3.1098151241070536E-2</v>
      </c>
      <c r="F61" s="125">
        <f>F60/F30</f>
        <v>2.9326735191804364E-2</v>
      </c>
      <c r="G61" s="125">
        <f>G60/G30</f>
        <v>3.3495669183721807E-2</v>
      </c>
      <c r="H61" s="125">
        <f>H60/H30</f>
        <v>2.5382229049850956E-2</v>
      </c>
      <c r="I61" s="125">
        <f>I60/I30</f>
        <v>-6.9938598442915011E-3</v>
      </c>
      <c r="J61" s="125">
        <f>J60/J30</f>
        <v>2.0759993161454011E-2</v>
      </c>
      <c r="K61" s="35">
        <f>K60/K30</f>
        <v>2.2241294855600512E-2</v>
      </c>
      <c r="L61" s="35">
        <f>L60/L30</f>
        <v>2.1514088979219602E-2</v>
      </c>
      <c r="M61" s="35">
        <f>M60/M30</f>
        <v>2.0193328641270714E-2</v>
      </c>
      <c r="N61" s="35">
        <f>N60/N30</f>
        <v>1.888461252198512E-2</v>
      </c>
      <c r="O61" s="35">
        <f>O60/O30</f>
        <v>1.6884393141587611E-2</v>
      </c>
      <c r="P61" s="35">
        <f>P60/P30</f>
        <v>1.5720185058349118E-2</v>
      </c>
    </row>
    <row r="63" spans="1:16" s="133" customFormat="1" x14ac:dyDescent="0.35">
      <c r="A63"/>
      <c r="B63" s="133" t="s">
        <v>54</v>
      </c>
    </row>
    <row r="65" spans="1:16383" x14ac:dyDescent="0.35">
      <c r="B65" t="s">
        <v>55</v>
      </c>
      <c r="D65" s="12">
        <f t="array" ref="D65:J65">TRANSPOSE(CF!E9:E15)</f>
        <v>1222868683717</v>
      </c>
      <c r="E65" s="12">
        <v>1442826938954</v>
      </c>
      <c r="F65" s="12">
        <v>2195583071035</v>
      </c>
      <c r="G65" s="12">
        <v>2920713608410</v>
      </c>
      <c r="H65" s="12">
        <v>3540324726294</v>
      </c>
      <c r="I65" s="12">
        <v>3351314267883</v>
      </c>
      <c r="J65" s="12">
        <v>2913419081483</v>
      </c>
      <c r="K65" s="11">
        <f>K30*K66</f>
        <v>3261052940957.8159</v>
      </c>
      <c r="L65" s="11">
        <f>L30*L66</f>
        <v>3957520721995.0444</v>
      </c>
      <c r="M65" s="11">
        <f>M30*M66</f>
        <v>4755086041330.4473</v>
      </c>
      <c r="N65" s="11">
        <f>N30*N66</f>
        <v>5565504293844.4355</v>
      </c>
      <c r="O65" s="11">
        <f>O30*O66</f>
        <v>6538295751226.3486</v>
      </c>
      <c r="P65" s="11">
        <f>P30*P66</f>
        <v>7938133848057.7754</v>
      </c>
    </row>
    <row r="66" spans="1:16383" x14ac:dyDescent="0.35">
      <c r="B66" t="s">
        <v>49</v>
      </c>
      <c r="D66" s="9">
        <f>D65/D30</f>
        <v>1.3937671267151681E-2</v>
      </c>
      <c r="E66" s="9">
        <f>E65/E30</f>
        <v>1.3942371244425928E-2</v>
      </c>
      <c r="F66" s="9">
        <f>F65/F30</f>
        <v>1.9995974519750336E-2</v>
      </c>
      <c r="G66" s="9">
        <f>G65/G30</f>
        <v>2.3527289455944688E-2</v>
      </c>
      <c r="H66" s="9">
        <f>H65/H30</f>
        <v>2.6278693797999582E-2</v>
      </c>
      <c r="I66" s="9">
        <f>I65/I30</f>
        <v>2.810699190671959E-2</v>
      </c>
      <c r="J66" s="9">
        <f>J65/J30</f>
        <v>2.1544957655762666E-2</v>
      </c>
      <c r="K66" s="10">
        <f>AVERAGE(D66:J66)</f>
        <v>2.1047707121107782E-2</v>
      </c>
      <c r="L66" s="10">
        <f t="shared" ref="L66:P66" si="39">AVERAGE(E66:K66)</f>
        <v>2.2063426528815797E-2</v>
      </c>
      <c r="M66" s="10">
        <f t="shared" si="39"/>
        <v>2.3223577283728637E-2</v>
      </c>
      <c r="N66" s="10">
        <f t="shared" si="39"/>
        <v>2.3684663392868392E-2</v>
      </c>
      <c r="O66" s="10">
        <f t="shared" si="39"/>
        <v>2.3707145383857493E-2</v>
      </c>
      <c r="P66" s="10">
        <f t="shared" si="39"/>
        <v>2.3339781324694334E-2</v>
      </c>
    </row>
    <row r="68" spans="1:16383" x14ac:dyDescent="0.35">
      <c r="B68" t="s">
        <v>56</v>
      </c>
      <c r="D68" s="7">
        <f t="array" ref="D68:J68">-(TRANSPOSE(CF!T9:T15))</f>
        <v>1495931919038</v>
      </c>
      <c r="E68" s="7">
        <v>3066921164140</v>
      </c>
      <c r="F68" s="7">
        <v>3911358160002</v>
      </c>
      <c r="G68" s="7">
        <v>4976876590016</v>
      </c>
      <c r="H68" s="7">
        <v>4465359523505</v>
      </c>
      <c r="I68" s="7">
        <v>523383330794</v>
      </c>
      <c r="J68" s="7">
        <v>303747827395</v>
      </c>
      <c r="K68" s="11">
        <f>K30*K69</f>
        <v>3589640715477.2231</v>
      </c>
      <c r="L68" s="11">
        <f>L30*L69</f>
        <v>4312522553797.7466</v>
      </c>
      <c r="M68" s="11">
        <f>M30*M69</f>
        <v>4759159474923.5693</v>
      </c>
      <c r="N68" s="11">
        <f>N30*N69</f>
        <v>5046290429624.0225</v>
      </c>
      <c r="O68" s="11">
        <f>O30*O69</f>
        <v>5189280801195.8438</v>
      </c>
      <c r="P68" s="11">
        <f>P30*P69</f>
        <v>5703245854062.4658</v>
      </c>
    </row>
    <row r="69" spans="1:16383" x14ac:dyDescent="0.35">
      <c r="B69" t="s">
        <v>49</v>
      </c>
      <c r="D69" s="9">
        <f>D68/D30</f>
        <v>1.7049915173407232E-2</v>
      </c>
      <c r="E69" s="9">
        <f>E68/E30</f>
        <v>2.9636370304276734E-2</v>
      </c>
      <c r="F69" s="9">
        <f>F68/F30</f>
        <v>3.5622163031230065E-2</v>
      </c>
      <c r="G69" s="9">
        <f>G68/G30</f>
        <v>4.0090344970031153E-2</v>
      </c>
      <c r="H69" s="9">
        <f>H68/H30</f>
        <v>3.3144930108997182E-2</v>
      </c>
      <c r="I69" s="35">
        <f>I68/I30</f>
        <v>4.3895408985417409E-3</v>
      </c>
      <c r="J69" s="35">
        <f>J68/J30</f>
        <v>2.2462384903183964E-3</v>
      </c>
      <c r="K69" s="10">
        <f>AVERAGE(D69:J69)</f>
        <v>2.3168500425257501E-2</v>
      </c>
      <c r="L69" s="10">
        <f t="shared" ref="L69:P69" si="40">AVERAGE(E69:K69)</f>
        <v>2.4042584032664682E-2</v>
      </c>
      <c r="M69" s="10">
        <f t="shared" si="40"/>
        <v>2.3243471708148673E-2</v>
      </c>
      <c r="N69" s="10">
        <f t="shared" si="40"/>
        <v>2.1475087233422761E-2</v>
      </c>
      <c r="O69" s="10">
        <f t="shared" si="40"/>
        <v>1.8815764699621561E-2</v>
      </c>
      <c r="P69" s="10">
        <f t="shared" si="40"/>
        <v>1.6768741069710762E-2</v>
      </c>
    </row>
    <row r="71" spans="1:16383" x14ac:dyDescent="0.35">
      <c r="B71" t="s">
        <v>57</v>
      </c>
      <c r="D71" s="16">
        <f>-(-(CF!K9)-(CF!L9)+(CF!M9)-(CF!N9))</f>
        <v>-4630586922480</v>
      </c>
      <c r="E71" s="16">
        <f>-(-(CF!K10)-(CF!L10)+(CF!M10)-(CF!N10))</f>
        <v>-12102524257977</v>
      </c>
      <c r="F71" s="16">
        <f>-(-(CF!K11)-(CF!L11)+(CF!M11)-(CF!N11))</f>
        <v>8939152145040</v>
      </c>
      <c r="G71" s="16">
        <f>-(-(CF!K12)-(CF!L12)+(CF!M12)-(CF!N12))</f>
        <v>-14560406803346</v>
      </c>
      <c r="H71" s="16">
        <f>-(-(CF!K13)-(CF!L13)+(CF!M13)-(CF!N13))</f>
        <v>5388825489653</v>
      </c>
      <c r="I71" s="16">
        <f>-(-(CF!K14)-(CF!L14)+(CF!M14)-(CF!N14))</f>
        <v>8108178998708</v>
      </c>
      <c r="J71" s="16">
        <f>-(-(CF!K15)-(CF!L15)+(CF!M15)-(CF!N15))</f>
        <v>-3939740577091</v>
      </c>
      <c r="K71" s="11">
        <f>K30*K72</f>
        <v>-2805151754149.8208</v>
      </c>
      <c r="L71" s="11">
        <f>L30*L72</f>
        <v>-2359086342769.0894</v>
      </c>
      <c r="M71" s="11">
        <f>M30*M72</f>
        <v>343196293426.47101</v>
      </c>
      <c r="N71" s="11">
        <f>N30*N72</f>
        <v>-2282793873317.7324</v>
      </c>
      <c r="O71" s="11">
        <f>O30*O72</f>
        <v>1559071908239.0291</v>
      </c>
      <c r="P71" s="11">
        <f>P30*P72</f>
        <v>253853212479.96759</v>
      </c>
    </row>
    <row r="72" spans="1:16383" x14ac:dyDescent="0.35">
      <c r="B72" t="s">
        <v>49</v>
      </c>
      <c r="D72" s="9">
        <f>D71/D30</f>
        <v>-5.2777210798566634E-2</v>
      </c>
      <c r="E72" s="9">
        <f>E71/E30</f>
        <v>-0.11694949799157127</v>
      </c>
      <c r="F72" s="9">
        <f>F71/F30</f>
        <v>8.1412113656045754E-2</v>
      </c>
      <c r="G72" s="9">
        <f>G71/G30</f>
        <v>-0.11728876959118109</v>
      </c>
      <c r="H72" s="9">
        <f>H71/H30</f>
        <v>3.9999521490697992E-2</v>
      </c>
      <c r="I72" s="9">
        <f>I71/I30</f>
        <v>6.8002133872953674E-2</v>
      </c>
      <c r="J72" s="9">
        <f>J71/J30</f>
        <v>-2.9134683865978128E-2</v>
      </c>
      <c r="K72" s="9">
        <f>AVERAGE(D72:J72)</f>
        <v>-1.810519903251424E-2</v>
      </c>
      <c r="L72" s="9">
        <f t="shared" ref="L72:P72" si="41">AVERAGE(E72:K72)</f>
        <v>-1.3152054494506762E-2</v>
      </c>
      <c r="M72" s="35">
        <f t="shared" si="41"/>
        <v>1.6761517193595993E-3</v>
      </c>
      <c r="N72" s="35">
        <f t="shared" si="41"/>
        <v>-9.7146999858812814E-3</v>
      </c>
      <c r="O72" s="35">
        <f t="shared" si="41"/>
        <v>5.6530242434472636E-3</v>
      </c>
      <c r="P72" s="35">
        <f t="shared" si="41"/>
        <v>7.4638177955430312E-4</v>
      </c>
    </row>
    <row r="73" spans="1:16383" x14ac:dyDescent="0.35">
      <c r="K73" s="9"/>
    </row>
    <row r="74" spans="1:16383" s="133" customFormat="1" x14ac:dyDescent="0.35">
      <c r="A74"/>
      <c r="B74" s="133" t="s">
        <v>58</v>
      </c>
    </row>
    <row r="76" spans="1:16383" x14ac:dyDescent="0.35">
      <c r="B76" t="s">
        <v>59</v>
      </c>
      <c r="K76" s="11">
        <f>K51</f>
        <v>4596255336131.4434</v>
      </c>
      <c r="L76" s="11">
        <f>L51</f>
        <v>5253441877959.0098</v>
      </c>
      <c r="M76" s="11">
        <f>M51</f>
        <v>5793229818961.0273</v>
      </c>
      <c r="N76" s="11">
        <f>N51</f>
        <v>6431375342952.8652</v>
      </c>
      <c r="O76" s="11">
        <f>O51</f>
        <v>7116949389871.5742</v>
      </c>
      <c r="P76" s="11">
        <f>P51</f>
        <v>8322905460555.9531</v>
      </c>
    </row>
    <row r="77" spans="1:16383" x14ac:dyDescent="0.35">
      <c r="B77" t="s">
        <v>55</v>
      </c>
      <c r="K77" s="11">
        <f t="shared" ref="K77" si="42">K65</f>
        <v>3261052940957.8159</v>
      </c>
      <c r="L77" s="11">
        <f t="shared" ref="L77:P77" si="43">L65</f>
        <v>3957520721995.0444</v>
      </c>
      <c r="M77" s="11">
        <f t="shared" si="43"/>
        <v>4755086041330.4473</v>
      </c>
      <c r="N77" s="11">
        <f t="shared" si="43"/>
        <v>5565504293844.4355</v>
      </c>
      <c r="O77" s="11">
        <f t="shared" si="43"/>
        <v>6538295751226.3486</v>
      </c>
      <c r="P77" s="11">
        <f t="shared" si="43"/>
        <v>7938133848057.7754</v>
      </c>
    </row>
    <row r="78" spans="1:16383" x14ac:dyDescent="0.35">
      <c r="B78" t="s">
        <v>56</v>
      </c>
      <c r="K78" s="11">
        <f t="shared" ref="K78" si="44">K68</f>
        <v>3589640715477.2231</v>
      </c>
      <c r="L78" s="11">
        <f t="shared" ref="L78:P78" si="45">L68</f>
        <v>4312522553797.7466</v>
      </c>
      <c r="M78" s="11">
        <f t="shared" si="45"/>
        <v>4759159474923.5693</v>
      </c>
      <c r="N78" s="11">
        <f t="shared" si="45"/>
        <v>5046290429624.0225</v>
      </c>
      <c r="O78" s="11">
        <f t="shared" si="45"/>
        <v>5189280801195.8438</v>
      </c>
      <c r="P78" s="11">
        <f t="shared" si="45"/>
        <v>5703245854062.4658</v>
      </c>
    </row>
    <row r="79" spans="1:16383" ht="15" thickBot="1" x14ac:dyDescent="0.4">
      <c r="B79" s="5" t="s">
        <v>57</v>
      </c>
      <c r="C79" s="5"/>
      <c r="D79" s="5"/>
      <c r="E79" s="5"/>
      <c r="F79" s="5"/>
      <c r="G79" s="5"/>
      <c r="H79" s="5"/>
      <c r="I79" s="5"/>
      <c r="J79" s="5"/>
      <c r="K79" s="36">
        <f t="shared" ref="K79" si="46">K71</f>
        <v>-2805151754149.8208</v>
      </c>
      <c r="L79" s="36">
        <f t="shared" ref="L79:P79" si="47">L71</f>
        <v>-2359086342769.0894</v>
      </c>
      <c r="M79" s="36">
        <f t="shared" si="47"/>
        <v>343196293426.47101</v>
      </c>
      <c r="N79" s="36">
        <f t="shared" si="47"/>
        <v>-2282793873317.7324</v>
      </c>
      <c r="O79" s="36">
        <f t="shared" si="47"/>
        <v>1559071908239.0291</v>
      </c>
      <c r="P79" s="36">
        <f t="shared" si="47"/>
        <v>253853212479.96759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  <c r="ALN79" s="5"/>
      <c r="ALO79" s="5"/>
      <c r="ALP79" s="5"/>
      <c r="ALQ79" s="5"/>
      <c r="ALR79" s="5"/>
      <c r="ALS79" s="5"/>
      <c r="ALT79" s="5"/>
      <c r="ALU79" s="5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  <c r="AMR79" s="5"/>
      <c r="AMS79" s="5"/>
      <c r="AMT79" s="5"/>
      <c r="AMU79" s="5"/>
      <c r="AMV79" s="5"/>
      <c r="AMW79" s="5"/>
      <c r="AMX79" s="5"/>
      <c r="AMY79" s="5"/>
      <c r="AMZ79" s="5"/>
      <c r="ANA79" s="5"/>
      <c r="ANB79" s="5"/>
      <c r="ANC79" s="5"/>
      <c r="AND79" s="5"/>
      <c r="ANE79" s="5"/>
      <c r="ANF79" s="5"/>
      <c r="ANG79" s="5"/>
      <c r="ANH79" s="5"/>
      <c r="ANI79" s="5"/>
      <c r="ANJ79" s="5"/>
      <c r="ANK79" s="5"/>
      <c r="ANL79" s="5"/>
      <c r="ANM79" s="5"/>
      <c r="ANN79" s="5"/>
      <c r="ANO79" s="5"/>
      <c r="ANP79" s="5"/>
      <c r="ANQ79" s="5"/>
      <c r="ANR79" s="5"/>
      <c r="ANS79" s="5"/>
      <c r="ANT79" s="5"/>
      <c r="ANU79" s="5"/>
      <c r="ANV79" s="5"/>
      <c r="ANW79" s="5"/>
      <c r="ANX79" s="5"/>
      <c r="ANY79" s="5"/>
      <c r="ANZ79" s="5"/>
      <c r="AOA79" s="5"/>
      <c r="AOB79" s="5"/>
      <c r="AOC79" s="5"/>
      <c r="AOD79" s="5"/>
      <c r="AOE79" s="5"/>
      <c r="AOF79" s="5"/>
      <c r="AOG79" s="5"/>
      <c r="AOH79" s="5"/>
      <c r="AOI79" s="5"/>
      <c r="AOJ79" s="5"/>
      <c r="AOK79" s="5"/>
      <c r="AOL79" s="5"/>
      <c r="AOM79" s="5"/>
      <c r="AON79" s="5"/>
      <c r="AOO79" s="5"/>
      <c r="AOP79" s="5"/>
      <c r="AOQ79" s="5"/>
      <c r="AOR79" s="5"/>
      <c r="AOS79" s="5"/>
      <c r="AOT79" s="5"/>
      <c r="AOU79" s="5"/>
      <c r="AOV79" s="5"/>
      <c r="AOW79" s="5"/>
      <c r="AOX79" s="5"/>
      <c r="AOY79" s="5"/>
      <c r="AOZ79" s="5"/>
      <c r="APA79" s="5"/>
      <c r="APB79" s="5"/>
      <c r="APC79" s="5"/>
      <c r="APD79" s="5"/>
      <c r="APE79" s="5"/>
      <c r="APF79" s="5"/>
      <c r="APG79" s="5"/>
      <c r="APH79" s="5"/>
      <c r="API79" s="5"/>
      <c r="APJ79" s="5"/>
      <c r="APK79" s="5"/>
      <c r="APL79" s="5"/>
      <c r="APM79" s="5"/>
      <c r="APN79" s="5"/>
      <c r="APO79" s="5"/>
      <c r="APP79" s="5"/>
      <c r="APQ79" s="5"/>
      <c r="APR79" s="5"/>
      <c r="APS79" s="5"/>
      <c r="APT79" s="5"/>
      <c r="APU79" s="5"/>
      <c r="APV79" s="5"/>
      <c r="APW79" s="5"/>
      <c r="APX79" s="5"/>
      <c r="APY79" s="5"/>
      <c r="APZ79" s="5"/>
      <c r="AQA79" s="5"/>
      <c r="AQB79" s="5"/>
      <c r="AQC79" s="5"/>
      <c r="AQD79" s="5"/>
      <c r="AQE79" s="5"/>
      <c r="AQF79" s="5"/>
      <c r="AQG79" s="5"/>
      <c r="AQH79" s="5"/>
      <c r="AQI79" s="5"/>
      <c r="AQJ79" s="5"/>
      <c r="AQK79" s="5"/>
      <c r="AQL79" s="5"/>
      <c r="AQM79" s="5"/>
      <c r="AQN79" s="5"/>
      <c r="AQO79" s="5"/>
      <c r="AQP79" s="5"/>
      <c r="AQQ79" s="5"/>
      <c r="AQR79" s="5"/>
      <c r="AQS79" s="5"/>
      <c r="AQT79" s="5"/>
      <c r="AQU79" s="5"/>
      <c r="AQV79" s="5"/>
      <c r="AQW79" s="5"/>
      <c r="AQX79" s="5"/>
      <c r="AQY79" s="5"/>
      <c r="AQZ79" s="5"/>
      <c r="ARA79" s="5"/>
      <c r="ARB79" s="5"/>
      <c r="ARC79" s="5"/>
      <c r="ARD79" s="5"/>
      <c r="ARE79" s="5"/>
      <c r="ARF79" s="5"/>
      <c r="ARG79" s="5"/>
      <c r="ARH79" s="5"/>
      <c r="ARI79" s="5"/>
      <c r="ARJ79" s="5"/>
      <c r="ARK79" s="5"/>
      <c r="ARL79" s="5"/>
      <c r="ARM79" s="5"/>
      <c r="ARN79" s="5"/>
      <c r="ARO79" s="5"/>
      <c r="ARP79" s="5"/>
      <c r="ARQ79" s="5"/>
      <c r="ARR79" s="5"/>
      <c r="ARS79" s="5"/>
      <c r="ART79" s="5"/>
      <c r="ARU79" s="5"/>
      <c r="ARV79" s="5"/>
      <c r="ARW79" s="5"/>
      <c r="ARX79" s="5"/>
      <c r="ARY79" s="5"/>
      <c r="ARZ79" s="5"/>
      <c r="ASA79" s="5"/>
      <c r="ASB79" s="5"/>
      <c r="ASC79" s="5"/>
      <c r="ASD79" s="5"/>
      <c r="ASE79" s="5"/>
      <c r="ASF79" s="5"/>
      <c r="ASG79" s="5"/>
      <c r="ASH79" s="5"/>
      <c r="ASI79" s="5"/>
      <c r="ASJ79" s="5"/>
      <c r="ASK79" s="5"/>
      <c r="ASL79" s="5"/>
      <c r="ASM79" s="5"/>
      <c r="ASN79" s="5"/>
      <c r="ASO79" s="5"/>
      <c r="ASP79" s="5"/>
      <c r="ASQ79" s="5"/>
      <c r="ASR79" s="5"/>
      <c r="ASS79" s="5"/>
      <c r="AST79" s="5"/>
      <c r="ASU79" s="5"/>
      <c r="ASV79" s="5"/>
      <c r="ASW79" s="5"/>
      <c r="ASX79" s="5"/>
      <c r="ASY79" s="5"/>
      <c r="ASZ79" s="5"/>
      <c r="ATA79" s="5"/>
      <c r="ATB79" s="5"/>
      <c r="ATC79" s="5"/>
      <c r="ATD79" s="5"/>
      <c r="ATE79" s="5"/>
      <c r="ATF79" s="5"/>
      <c r="ATG79" s="5"/>
      <c r="ATH79" s="5"/>
      <c r="ATI79" s="5"/>
      <c r="ATJ79" s="5"/>
      <c r="ATK79" s="5"/>
      <c r="ATL79" s="5"/>
      <c r="ATM79" s="5"/>
      <c r="ATN79" s="5"/>
      <c r="ATO79" s="5"/>
      <c r="ATP79" s="5"/>
      <c r="ATQ79" s="5"/>
      <c r="ATR79" s="5"/>
      <c r="ATS79" s="5"/>
      <c r="ATT79" s="5"/>
      <c r="ATU79" s="5"/>
      <c r="ATV79" s="5"/>
      <c r="ATW79" s="5"/>
      <c r="ATX79" s="5"/>
      <c r="ATY79" s="5"/>
      <c r="ATZ79" s="5"/>
      <c r="AUA79" s="5"/>
      <c r="AUB79" s="5"/>
      <c r="AUC79" s="5"/>
      <c r="AUD79" s="5"/>
      <c r="AUE79" s="5"/>
      <c r="AUF79" s="5"/>
      <c r="AUG79" s="5"/>
      <c r="AUH79" s="5"/>
      <c r="AUI79" s="5"/>
      <c r="AUJ79" s="5"/>
      <c r="AUK79" s="5"/>
      <c r="AUL79" s="5"/>
      <c r="AUM79" s="5"/>
      <c r="AUN79" s="5"/>
      <c r="AUO79" s="5"/>
      <c r="AUP79" s="5"/>
      <c r="AUQ79" s="5"/>
      <c r="AUR79" s="5"/>
      <c r="AUS79" s="5"/>
      <c r="AUT79" s="5"/>
      <c r="AUU79" s="5"/>
      <c r="AUV79" s="5"/>
      <c r="AUW79" s="5"/>
      <c r="AUX79" s="5"/>
      <c r="AUY79" s="5"/>
      <c r="AUZ79" s="5"/>
      <c r="AVA79" s="5"/>
      <c r="AVB79" s="5"/>
      <c r="AVC79" s="5"/>
      <c r="AVD79" s="5"/>
      <c r="AVE79" s="5"/>
      <c r="AVF79" s="5"/>
      <c r="AVG79" s="5"/>
      <c r="AVH79" s="5"/>
      <c r="AVI79" s="5"/>
      <c r="AVJ79" s="5"/>
      <c r="AVK79" s="5"/>
      <c r="AVL79" s="5"/>
      <c r="AVM79" s="5"/>
      <c r="AVN79" s="5"/>
      <c r="AVO79" s="5"/>
      <c r="AVP79" s="5"/>
      <c r="AVQ79" s="5"/>
      <c r="AVR79" s="5"/>
      <c r="AVS79" s="5"/>
      <c r="AVT79" s="5"/>
      <c r="AVU79" s="5"/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  <c r="AXA79" s="5"/>
      <c r="AXB79" s="5"/>
      <c r="AXC79" s="5"/>
      <c r="AXD79" s="5"/>
      <c r="AXE79" s="5"/>
      <c r="AXF79" s="5"/>
      <c r="AXG79" s="5"/>
      <c r="AXH79" s="5"/>
      <c r="AXI79" s="5"/>
      <c r="AXJ79" s="5"/>
      <c r="AXK79" s="5"/>
      <c r="AXL79" s="5"/>
      <c r="AXM79" s="5"/>
      <c r="AXN79" s="5"/>
      <c r="AXO79" s="5"/>
      <c r="AXP79" s="5"/>
      <c r="AXQ79" s="5"/>
      <c r="AXR79" s="5"/>
      <c r="AXS79" s="5"/>
      <c r="AXT79" s="5"/>
      <c r="AXU79" s="5"/>
      <c r="AXV79" s="5"/>
      <c r="AXW79" s="5"/>
      <c r="AXX79" s="5"/>
      <c r="AXY79" s="5"/>
      <c r="AXZ79" s="5"/>
      <c r="AYA79" s="5"/>
      <c r="AYB79" s="5"/>
      <c r="AYC79" s="5"/>
      <c r="AYD79" s="5"/>
      <c r="AYE79" s="5"/>
      <c r="AYF79" s="5"/>
      <c r="AYG79" s="5"/>
      <c r="AYH79" s="5"/>
      <c r="AYI79" s="5"/>
      <c r="AYJ79" s="5"/>
      <c r="AYK79" s="5"/>
      <c r="AYL79" s="5"/>
      <c r="AYM79" s="5"/>
      <c r="AYN79" s="5"/>
      <c r="AYO79" s="5"/>
      <c r="AYP79" s="5"/>
      <c r="AYQ79" s="5"/>
      <c r="AYR79" s="5"/>
      <c r="AYS79" s="5"/>
      <c r="AYT79" s="5"/>
      <c r="AYU79" s="5"/>
      <c r="AYV79" s="5"/>
      <c r="AYW79" s="5"/>
      <c r="AYX79" s="5"/>
      <c r="AYY79" s="5"/>
      <c r="AYZ79" s="5"/>
      <c r="AZA79" s="5"/>
      <c r="AZB79" s="5"/>
      <c r="AZC79" s="5"/>
      <c r="AZD79" s="5"/>
      <c r="AZE79" s="5"/>
      <c r="AZF79" s="5"/>
      <c r="AZG79" s="5"/>
      <c r="AZH79" s="5"/>
      <c r="AZI79" s="5"/>
      <c r="AZJ79" s="5"/>
      <c r="AZK79" s="5"/>
      <c r="AZL79" s="5"/>
      <c r="AZM79" s="5"/>
      <c r="AZN79" s="5"/>
      <c r="AZO79" s="5"/>
      <c r="AZP79" s="5"/>
      <c r="AZQ79" s="5"/>
      <c r="AZR79" s="5"/>
      <c r="AZS79" s="5"/>
      <c r="AZT79" s="5"/>
      <c r="AZU79" s="5"/>
      <c r="AZV79" s="5"/>
      <c r="AZW79" s="5"/>
      <c r="AZX79" s="5"/>
      <c r="AZY79" s="5"/>
      <c r="AZZ79" s="5"/>
      <c r="BAA79" s="5"/>
      <c r="BAB79" s="5"/>
      <c r="BAC79" s="5"/>
      <c r="BAD79" s="5"/>
      <c r="BAE79" s="5"/>
      <c r="BAF79" s="5"/>
      <c r="BAG79" s="5"/>
      <c r="BAH79" s="5"/>
      <c r="BAI79" s="5"/>
      <c r="BAJ79" s="5"/>
      <c r="BAK79" s="5"/>
      <c r="BAL79" s="5"/>
      <c r="BAM79" s="5"/>
      <c r="BAN79" s="5"/>
      <c r="BAO79" s="5"/>
      <c r="BAP79" s="5"/>
      <c r="BAQ79" s="5"/>
      <c r="BAR79" s="5"/>
      <c r="BAS79" s="5"/>
      <c r="BAT79" s="5"/>
      <c r="BAU79" s="5"/>
      <c r="BAV79" s="5"/>
      <c r="BAW79" s="5"/>
      <c r="BAX79" s="5"/>
      <c r="BAY79" s="5"/>
      <c r="BAZ79" s="5"/>
      <c r="BBA79" s="5"/>
      <c r="BBB79" s="5"/>
      <c r="BBC79" s="5"/>
      <c r="BBD79" s="5"/>
      <c r="BBE79" s="5"/>
      <c r="BBF79" s="5"/>
      <c r="BBG79" s="5"/>
      <c r="BBH79" s="5"/>
      <c r="BBI79" s="5"/>
      <c r="BBJ79" s="5"/>
      <c r="BBK79" s="5"/>
      <c r="BBL79" s="5"/>
      <c r="BBM79" s="5"/>
      <c r="BBN79" s="5"/>
      <c r="BBO79" s="5"/>
      <c r="BBP79" s="5"/>
      <c r="BBQ79" s="5"/>
      <c r="BBR79" s="5"/>
      <c r="BBS79" s="5"/>
      <c r="BBT79" s="5"/>
      <c r="BBU79" s="5"/>
      <c r="BBV79" s="5"/>
      <c r="BBW79" s="5"/>
      <c r="BBX79" s="5"/>
      <c r="BBY79" s="5"/>
      <c r="BBZ79" s="5"/>
      <c r="BCA79" s="5"/>
      <c r="BCB79" s="5"/>
      <c r="BCC79" s="5"/>
      <c r="BCD79" s="5"/>
      <c r="BCE79" s="5"/>
      <c r="BCF79" s="5"/>
      <c r="BCG79" s="5"/>
      <c r="BCH79" s="5"/>
      <c r="BCI79" s="5"/>
      <c r="BCJ79" s="5"/>
      <c r="BCK79" s="5"/>
      <c r="BCL79" s="5"/>
      <c r="BCM79" s="5"/>
      <c r="BCN79" s="5"/>
      <c r="BCO79" s="5"/>
      <c r="BCP79" s="5"/>
      <c r="BCQ79" s="5"/>
      <c r="BCR79" s="5"/>
      <c r="BCS79" s="5"/>
      <c r="BCT79" s="5"/>
      <c r="BCU79" s="5"/>
      <c r="BCV79" s="5"/>
      <c r="BCW79" s="5"/>
      <c r="BCX79" s="5"/>
      <c r="BCY79" s="5"/>
      <c r="BCZ79" s="5"/>
      <c r="BDA79" s="5"/>
      <c r="BDB79" s="5"/>
      <c r="BDC79" s="5"/>
      <c r="BDD79" s="5"/>
      <c r="BDE79" s="5"/>
      <c r="BDF79" s="5"/>
      <c r="BDG79" s="5"/>
      <c r="BDH79" s="5"/>
      <c r="BDI79" s="5"/>
      <c r="BDJ79" s="5"/>
      <c r="BDK79" s="5"/>
      <c r="BDL79" s="5"/>
      <c r="BDM79" s="5"/>
      <c r="BDN79" s="5"/>
      <c r="BDO79" s="5"/>
      <c r="BDP79" s="5"/>
      <c r="BDQ79" s="5"/>
      <c r="BDR79" s="5"/>
      <c r="BDS79" s="5"/>
      <c r="BDT79" s="5"/>
      <c r="BDU79" s="5"/>
      <c r="BDV79" s="5"/>
      <c r="BDW79" s="5"/>
      <c r="BDX79" s="5"/>
      <c r="BDY79" s="5"/>
      <c r="BDZ79" s="5"/>
      <c r="BEA79" s="5"/>
      <c r="BEB79" s="5"/>
      <c r="BEC79" s="5"/>
      <c r="BED79" s="5"/>
      <c r="BEE79" s="5"/>
      <c r="BEF79" s="5"/>
      <c r="BEG79" s="5"/>
      <c r="BEH79" s="5"/>
      <c r="BEI79" s="5"/>
      <c r="BEJ79" s="5"/>
      <c r="BEK79" s="5"/>
      <c r="BEL79" s="5"/>
      <c r="BEM79" s="5"/>
      <c r="BEN79" s="5"/>
      <c r="BEO79" s="5"/>
      <c r="BEP79" s="5"/>
      <c r="BEQ79" s="5"/>
      <c r="BER79" s="5"/>
      <c r="BES79" s="5"/>
      <c r="BET79" s="5"/>
      <c r="BEU79" s="5"/>
      <c r="BEV79" s="5"/>
      <c r="BEW79" s="5"/>
      <c r="BEX79" s="5"/>
      <c r="BEY79" s="5"/>
      <c r="BEZ79" s="5"/>
      <c r="BFA79" s="5"/>
      <c r="BFB79" s="5"/>
      <c r="BFC79" s="5"/>
      <c r="BFD79" s="5"/>
      <c r="BFE79" s="5"/>
      <c r="BFF79" s="5"/>
      <c r="BFG79" s="5"/>
      <c r="BFH79" s="5"/>
      <c r="BFI79" s="5"/>
      <c r="BFJ79" s="5"/>
      <c r="BFK79" s="5"/>
      <c r="BFL79" s="5"/>
      <c r="BFM79" s="5"/>
      <c r="BFN79" s="5"/>
      <c r="BFO79" s="5"/>
      <c r="BFP79" s="5"/>
      <c r="BFQ79" s="5"/>
      <c r="BFR79" s="5"/>
      <c r="BFS79" s="5"/>
      <c r="BFT79" s="5"/>
      <c r="BFU79" s="5"/>
      <c r="BFV79" s="5"/>
      <c r="BFW79" s="5"/>
      <c r="BFX79" s="5"/>
      <c r="BFY79" s="5"/>
      <c r="BFZ79" s="5"/>
      <c r="BGA79" s="5"/>
      <c r="BGB79" s="5"/>
      <c r="BGC79" s="5"/>
      <c r="BGD79" s="5"/>
      <c r="BGE79" s="5"/>
      <c r="BGF79" s="5"/>
      <c r="BGG79" s="5"/>
      <c r="BGH79" s="5"/>
      <c r="BGI79" s="5"/>
      <c r="BGJ79" s="5"/>
      <c r="BGK79" s="5"/>
      <c r="BGL79" s="5"/>
      <c r="BGM79" s="5"/>
      <c r="BGN79" s="5"/>
      <c r="BGO79" s="5"/>
      <c r="BGP79" s="5"/>
      <c r="BGQ79" s="5"/>
      <c r="BGR79" s="5"/>
      <c r="BGS79" s="5"/>
      <c r="BGT79" s="5"/>
      <c r="BGU79" s="5"/>
      <c r="BGV79" s="5"/>
      <c r="BGW79" s="5"/>
      <c r="BGX79" s="5"/>
      <c r="BGY79" s="5"/>
      <c r="BGZ79" s="5"/>
      <c r="BHA79" s="5"/>
      <c r="BHB79" s="5"/>
      <c r="BHC79" s="5"/>
      <c r="BHD79" s="5"/>
      <c r="BHE79" s="5"/>
      <c r="BHF79" s="5"/>
      <c r="BHG79" s="5"/>
      <c r="BHH79" s="5"/>
      <c r="BHI79" s="5"/>
      <c r="BHJ79" s="5"/>
      <c r="BHK79" s="5"/>
      <c r="BHL79" s="5"/>
      <c r="BHM79" s="5"/>
      <c r="BHN79" s="5"/>
      <c r="BHO79" s="5"/>
      <c r="BHP79" s="5"/>
      <c r="BHQ79" s="5"/>
      <c r="BHR79" s="5"/>
      <c r="BHS79" s="5"/>
      <c r="BHT79" s="5"/>
      <c r="BHU79" s="5"/>
      <c r="BHV79" s="5"/>
      <c r="BHW79" s="5"/>
      <c r="BHX79" s="5"/>
      <c r="BHY79" s="5"/>
      <c r="BHZ79" s="5"/>
      <c r="BIA79" s="5"/>
      <c r="BIB79" s="5"/>
      <c r="BIC79" s="5"/>
      <c r="BID79" s="5"/>
      <c r="BIE79" s="5"/>
      <c r="BIF79" s="5"/>
      <c r="BIG79" s="5"/>
      <c r="BIH79" s="5"/>
      <c r="BII79" s="5"/>
      <c r="BIJ79" s="5"/>
      <c r="BIK79" s="5"/>
      <c r="BIL79" s="5"/>
      <c r="BIM79" s="5"/>
      <c r="BIN79" s="5"/>
      <c r="BIO79" s="5"/>
      <c r="BIP79" s="5"/>
      <c r="BIQ79" s="5"/>
      <c r="BIR79" s="5"/>
      <c r="BIS79" s="5"/>
      <c r="BIT79" s="5"/>
      <c r="BIU79" s="5"/>
      <c r="BIV79" s="5"/>
      <c r="BIW79" s="5"/>
      <c r="BIX79" s="5"/>
      <c r="BIY79" s="5"/>
      <c r="BIZ79" s="5"/>
      <c r="BJA79" s="5"/>
      <c r="BJB79" s="5"/>
      <c r="BJC79" s="5"/>
      <c r="BJD79" s="5"/>
      <c r="BJE79" s="5"/>
      <c r="BJF79" s="5"/>
      <c r="BJG79" s="5"/>
      <c r="BJH79" s="5"/>
      <c r="BJI79" s="5"/>
      <c r="BJJ79" s="5"/>
      <c r="BJK79" s="5"/>
      <c r="BJL79" s="5"/>
      <c r="BJM79" s="5"/>
      <c r="BJN79" s="5"/>
      <c r="BJO79" s="5"/>
      <c r="BJP79" s="5"/>
      <c r="BJQ79" s="5"/>
      <c r="BJR79" s="5"/>
      <c r="BJS79" s="5"/>
      <c r="BJT79" s="5"/>
      <c r="BJU79" s="5"/>
      <c r="BJV79" s="5"/>
      <c r="BJW79" s="5"/>
      <c r="BJX79" s="5"/>
      <c r="BJY79" s="5"/>
      <c r="BJZ79" s="5"/>
      <c r="BKA79" s="5"/>
      <c r="BKB79" s="5"/>
      <c r="BKC79" s="5"/>
      <c r="BKD79" s="5"/>
      <c r="BKE79" s="5"/>
      <c r="BKF79" s="5"/>
      <c r="BKG79" s="5"/>
      <c r="BKH79" s="5"/>
      <c r="BKI79" s="5"/>
      <c r="BKJ79" s="5"/>
      <c r="BKK79" s="5"/>
      <c r="BKL79" s="5"/>
      <c r="BKM79" s="5"/>
      <c r="BKN79" s="5"/>
      <c r="BKO79" s="5"/>
      <c r="BKP79" s="5"/>
      <c r="BKQ79" s="5"/>
      <c r="BKR79" s="5"/>
      <c r="BKS79" s="5"/>
      <c r="BKT79" s="5"/>
      <c r="BKU79" s="5"/>
      <c r="BKV79" s="5"/>
      <c r="BKW79" s="5"/>
      <c r="BKX79" s="5"/>
      <c r="BKY79" s="5"/>
      <c r="BKZ79" s="5"/>
      <c r="BLA79" s="5"/>
      <c r="BLB79" s="5"/>
      <c r="BLC79" s="5"/>
      <c r="BLD79" s="5"/>
      <c r="BLE79" s="5"/>
      <c r="BLF79" s="5"/>
      <c r="BLG79" s="5"/>
      <c r="BLH79" s="5"/>
      <c r="BLI79" s="5"/>
      <c r="BLJ79" s="5"/>
      <c r="BLK79" s="5"/>
      <c r="BLL79" s="5"/>
      <c r="BLM79" s="5"/>
      <c r="BLN79" s="5"/>
      <c r="BLO79" s="5"/>
      <c r="BLP79" s="5"/>
      <c r="BLQ79" s="5"/>
      <c r="BLR79" s="5"/>
      <c r="BLS79" s="5"/>
      <c r="BLT79" s="5"/>
      <c r="BLU79" s="5"/>
      <c r="BLV79" s="5"/>
      <c r="BLW79" s="5"/>
      <c r="BLX79" s="5"/>
      <c r="BLY79" s="5"/>
      <c r="BLZ79" s="5"/>
      <c r="BMA79" s="5"/>
      <c r="BMB79" s="5"/>
      <c r="BMC79" s="5"/>
      <c r="BMD79" s="5"/>
      <c r="BME79" s="5"/>
      <c r="BMF79" s="5"/>
      <c r="BMG79" s="5"/>
      <c r="BMH79" s="5"/>
      <c r="BMI79" s="5"/>
      <c r="BMJ79" s="5"/>
      <c r="BMK79" s="5"/>
      <c r="BML79" s="5"/>
      <c r="BMM79" s="5"/>
      <c r="BMN79" s="5"/>
      <c r="BMO79" s="5"/>
      <c r="BMP79" s="5"/>
      <c r="BMQ79" s="5"/>
      <c r="BMR79" s="5"/>
      <c r="BMS79" s="5"/>
      <c r="BMT79" s="5"/>
      <c r="BMU79" s="5"/>
      <c r="BMV79" s="5"/>
      <c r="BMW79" s="5"/>
      <c r="BMX79" s="5"/>
      <c r="BMY79" s="5"/>
      <c r="BMZ79" s="5"/>
      <c r="BNA79" s="5"/>
      <c r="BNB79" s="5"/>
      <c r="BNC79" s="5"/>
      <c r="BND79" s="5"/>
      <c r="BNE79" s="5"/>
      <c r="BNF79" s="5"/>
      <c r="BNG79" s="5"/>
      <c r="BNH79" s="5"/>
      <c r="BNI79" s="5"/>
      <c r="BNJ79" s="5"/>
      <c r="BNK79" s="5"/>
      <c r="BNL79" s="5"/>
      <c r="BNM79" s="5"/>
      <c r="BNN79" s="5"/>
      <c r="BNO79" s="5"/>
      <c r="BNP79" s="5"/>
      <c r="BNQ79" s="5"/>
      <c r="BNR79" s="5"/>
      <c r="BNS79" s="5"/>
      <c r="BNT79" s="5"/>
      <c r="BNU79" s="5"/>
      <c r="BNV79" s="5"/>
      <c r="BNW79" s="5"/>
      <c r="BNX79" s="5"/>
      <c r="BNY79" s="5"/>
      <c r="BNZ79" s="5"/>
      <c r="BOA79" s="5"/>
      <c r="BOB79" s="5"/>
      <c r="BOC79" s="5"/>
      <c r="BOD79" s="5"/>
      <c r="BOE79" s="5"/>
      <c r="BOF79" s="5"/>
      <c r="BOG79" s="5"/>
      <c r="BOH79" s="5"/>
      <c r="BOI79" s="5"/>
      <c r="BOJ79" s="5"/>
      <c r="BOK79" s="5"/>
      <c r="BOL79" s="5"/>
      <c r="BOM79" s="5"/>
      <c r="BON79" s="5"/>
      <c r="BOO79" s="5"/>
      <c r="BOP79" s="5"/>
      <c r="BOQ79" s="5"/>
      <c r="BOR79" s="5"/>
      <c r="BOS79" s="5"/>
      <c r="BOT79" s="5"/>
      <c r="BOU79" s="5"/>
      <c r="BOV79" s="5"/>
      <c r="BOW79" s="5"/>
      <c r="BOX79" s="5"/>
      <c r="BOY79" s="5"/>
      <c r="BOZ79" s="5"/>
      <c r="BPA79" s="5"/>
      <c r="BPB79" s="5"/>
      <c r="BPC79" s="5"/>
      <c r="BPD79" s="5"/>
      <c r="BPE79" s="5"/>
      <c r="BPF79" s="5"/>
      <c r="BPG79" s="5"/>
      <c r="BPH79" s="5"/>
      <c r="BPI79" s="5"/>
      <c r="BPJ79" s="5"/>
      <c r="BPK79" s="5"/>
      <c r="BPL79" s="5"/>
      <c r="BPM79" s="5"/>
      <c r="BPN79" s="5"/>
      <c r="BPO79" s="5"/>
      <c r="BPP79" s="5"/>
      <c r="BPQ79" s="5"/>
      <c r="BPR79" s="5"/>
      <c r="BPS79" s="5"/>
      <c r="BPT79" s="5"/>
      <c r="BPU79" s="5"/>
      <c r="BPV79" s="5"/>
      <c r="BPW79" s="5"/>
      <c r="BPX79" s="5"/>
      <c r="BPY79" s="5"/>
      <c r="BPZ79" s="5"/>
      <c r="BQA79" s="5"/>
      <c r="BQB79" s="5"/>
      <c r="BQC79" s="5"/>
      <c r="BQD79" s="5"/>
      <c r="BQE79" s="5"/>
      <c r="BQF79" s="5"/>
      <c r="BQG79" s="5"/>
      <c r="BQH79" s="5"/>
      <c r="BQI79" s="5"/>
      <c r="BQJ79" s="5"/>
      <c r="BQK79" s="5"/>
      <c r="BQL79" s="5"/>
      <c r="BQM79" s="5"/>
      <c r="BQN79" s="5"/>
      <c r="BQO79" s="5"/>
      <c r="BQP79" s="5"/>
      <c r="BQQ79" s="5"/>
      <c r="BQR79" s="5"/>
      <c r="BQS79" s="5"/>
      <c r="BQT79" s="5"/>
      <c r="BQU79" s="5"/>
      <c r="BQV79" s="5"/>
      <c r="BQW79" s="5"/>
      <c r="BQX79" s="5"/>
      <c r="BQY79" s="5"/>
      <c r="BQZ79" s="5"/>
      <c r="BRA79" s="5"/>
      <c r="BRB79" s="5"/>
      <c r="BRC79" s="5"/>
      <c r="BRD79" s="5"/>
      <c r="BRE79" s="5"/>
      <c r="BRF79" s="5"/>
      <c r="BRG79" s="5"/>
      <c r="BRH79" s="5"/>
      <c r="BRI79" s="5"/>
      <c r="BRJ79" s="5"/>
      <c r="BRK79" s="5"/>
      <c r="BRL79" s="5"/>
      <c r="BRM79" s="5"/>
      <c r="BRN79" s="5"/>
      <c r="BRO79" s="5"/>
      <c r="BRP79" s="5"/>
      <c r="BRQ79" s="5"/>
      <c r="BRR79" s="5"/>
      <c r="BRS79" s="5"/>
      <c r="BRT79" s="5"/>
      <c r="BRU79" s="5"/>
      <c r="BRV79" s="5"/>
      <c r="BRW79" s="5"/>
      <c r="BRX79" s="5"/>
      <c r="BRY79" s="5"/>
      <c r="BRZ79" s="5"/>
      <c r="BSA79" s="5"/>
      <c r="BSB79" s="5"/>
      <c r="BSC79" s="5"/>
      <c r="BSD79" s="5"/>
      <c r="BSE79" s="5"/>
      <c r="BSF79" s="5"/>
      <c r="BSG79" s="5"/>
      <c r="BSH79" s="5"/>
      <c r="BSI79" s="5"/>
      <c r="BSJ79" s="5"/>
      <c r="BSK79" s="5"/>
      <c r="BSL79" s="5"/>
      <c r="BSM79" s="5"/>
      <c r="BSN79" s="5"/>
      <c r="BSO79" s="5"/>
      <c r="BSP79" s="5"/>
      <c r="BSQ79" s="5"/>
      <c r="BSR79" s="5"/>
      <c r="BSS79" s="5"/>
      <c r="BST79" s="5"/>
      <c r="BSU79" s="5"/>
      <c r="BSV79" s="5"/>
      <c r="BSW79" s="5"/>
      <c r="BSX79" s="5"/>
      <c r="BSY79" s="5"/>
      <c r="BSZ79" s="5"/>
      <c r="BTA79" s="5"/>
      <c r="BTB79" s="5"/>
      <c r="BTC79" s="5"/>
      <c r="BTD79" s="5"/>
      <c r="BTE79" s="5"/>
      <c r="BTF79" s="5"/>
      <c r="BTG79" s="5"/>
      <c r="BTH79" s="5"/>
      <c r="BTI79" s="5"/>
      <c r="BTJ79" s="5"/>
      <c r="BTK79" s="5"/>
      <c r="BTL79" s="5"/>
      <c r="BTM79" s="5"/>
      <c r="BTN79" s="5"/>
      <c r="BTO79" s="5"/>
      <c r="BTP79" s="5"/>
      <c r="BTQ79" s="5"/>
      <c r="BTR79" s="5"/>
      <c r="BTS79" s="5"/>
      <c r="BTT79" s="5"/>
      <c r="BTU79" s="5"/>
      <c r="BTV79" s="5"/>
      <c r="BTW79" s="5"/>
      <c r="BTX79" s="5"/>
      <c r="BTY79" s="5"/>
      <c r="BTZ79" s="5"/>
      <c r="BUA79" s="5"/>
      <c r="BUB79" s="5"/>
      <c r="BUC79" s="5"/>
      <c r="BUD79" s="5"/>
      <c r="BUE79" s="5"/>
      <c r="BUF79" s="5"/>
      <c r="BUG79" s="5"/>
      <c r="BUH79" s="5"/>
      <c r="BUI79" s="5"/>
      <c r="BUJ79" s="5"/>
      <c r="BUK79" s="5"/>
      <c r="BUL79" s="5"/>
      <c r="BUM79" s="5"/>
      <c r="BUN79" s="5"/>
      <c r="BUO79" s="5"/>
      <c r="BUP79" s="5"/>
      <c r="BUQ79" s="5"/>
      <c r="BUR79" s="5"/>
      <c r="BUS79" s="5"/>
      <c r="BUT79" s="5"/>
      <c r="BUU79" s="5"/>
      <c r="BUV79" s="5"/>
      <c r="BUW79" s="5"/>
      <c r="BUX79" s="5"/>
      <c r="BUY79" s="5"/>
      <c r="BUZ79" s="5"/>
      <c r="BVA79" s="5"/>
      <c r="BVB79" s="5"/>
      <c r="BVC79" s="5"/>
      <c r="BVD79" s="5"/>
      <c r="BVE79" s="5"/>
      <c r="BVF79" s="5"/>
      <c r="BVG79" s="5"/>
      <c r="BVH79" s="5"/>
      <c r="BVI79" s="5"/>
      <c r="BVJ79" s="5"/>
      <c r="BVK79" s="5"/>
      <c r="BVL79" s="5"/>
      <c r="BVM79" s="5"/>
      <c r="BVN79" s="5"/>
      <c r="BVO79" s="5"/>
      <c r="BVP79" s="5"/>
      <c r="BVQ79" s="5"/>
      <c r="BVR79" s="5"/>
      <c r="BVS79" s="5"/>
      <c r="BVT79" s="5"/>
      <c r="BVU79" s="5"/>
      <c r="BVV79" s="5"/>
      <c r="BVW79" s="5"/>
      <c r="BVX79" s="5"/>
      <c r="BVY79" s="5"/>
      <c r="BVZ79" s="5"/>
      <c r="BWA79" s="5"/>
      <c r="BWB79" s="5"/>
      <c r="BWC79" s="5"/>
      <c r="BWD79" s="5"/>
      <c r="BWE79" s="5"/>
      <c r="BWF79" s="5"/>
      <c r="BWG79" s="5"/>
      <c r="BWH79" s="5"/>
      <c r="BWI79" s="5"/>
      <c r="BWJ79" s="5"/>
      <c r="BWK79" s="5"/>
      <c r="BWL79" s="5"/>
      <c r="BWM79" s="5"/>
      <c r="BWN79" s="5"/>
      <c r="BWO79" s="5"/>
      <c r="BWP79" s="5"/>
      <c r="BWQ79" s="5"/>
      <c r="BWR79" s="5"/>
      <c r="BWS79" s="5"/>
      <c r="BWT79" s="5"/>
      <c r="BWU79" s="5"/>
      <c r="BWV79" s="5"/>
      <c r="BWW79" s="5"/>
      <c r="BWX79" s="5"/>
      <c r="BWY79" s="5"/>
      <c r="BWZ79" s="5"/>
      <c r="BXA79" s="5"/>
      <c r="BXB79" s="5"/>
      <c r="BXC79" s="5"/>
      <c r="BXD79" s="5"/>
      <c r="BXE79" s="5"/>
      <c r="BXF79" s="5"/>
      <c r="BXG79" s="5"/>
      <c r="BXH79" s="5"/>
      <c r="BXI79" s="5"/>
      <c r="BXJ79" s="5"/>
      <c r="BXK79" s="5"/>
      <c r="BXL79" s="5"/>
      <c r="BXM79" s="5"/>
      <c r="BXN79" s="5"/>
      <c r="BXO79" s="5"/>
      <c r="BXP79" s="5"/>
      <c r="BXQ79" s="5"/>
      <c r="BXR79" s="5"/>
      <c r="BXS79" s="5"/>
      <c r="BXT79" s="5"/>
      <c r="BXU79" s="5"/>
      <c r="BXV79" s="5"/>
      <c r="BXW79" s="5"/>
      <c r="BXX79" s="5"/>
      <c r="BXY79" s="5"/>
      <c r="BXZ79" s="5"/>
      <c r="BYA79" s="5"/>
      <c r="BYB79" s="5"/>
      <c r="BYC79" s="5"/>
      <c r="BYD79" s="5"/>
      <c r="BYE79" s="5"/>
      <c r="BYF79" s="5"/>
      <c r="BYG79" s="5"/>
      <c r="BYH79" s="5"/>
      <c r="BYI79" s="5"/>
      <c r="BYJ79" s="5"/>
      <c r="BYK79" s="5"/>
      <c r="BYL79" s="5"/>
      <c r="BYM79" s="5"/>
      <c r="BYN79" s="5"/>
      <c r="BYO79" s="5"/>
      <c r="BYP79" s="5"/>
      <c r="BYQ79" s="5"/>
      <c r="BYR79" s="5"/>
      <c r="BYS79" s="5"/>
      <c r="BYT79" s="5"/>
      <c r="BYU79" s="5"/>
      <c r="BYV79" s="5"/>
      <c r="BYW79" s="5"/>
      <c r="BYX79" s="5"/>
      <c r="BYY79" s="5"/>
      <c r="BYZ79" s="5"/>
      <c r="BZA79" s="5"/>
      <c r="BZB79" s="5"/>
      <c r="BZC79" s="5"/>
      <c r="BZD79" s="5"/>
      <c r="BZE79" s="5"/>
      <c r="BZF79" s="5"/>
      <c r="BZG79" s="5"/>
      <c r="BZH79" s="5"/>
      <c r="BZI79" s="5"/>
      <c r="BZJ79" s="5"/>
      <c r="BZK79" s="5"/>
      <c r="BZL79" s="5"/>
      <c r="BZM79" s="5"/>
      <c r="BZN79" s="5"/>
      <c r="BZO79" s="5"/>
      <c r="BZP79" s="5"/>
      <c r="BZQ79" s="5"/>
      <c r="BZR79" s="5"/>
      <c r="BZS79" s="5"/>
      <c r="BZT79" s="5"/>
      <c r="BZU79" s="5"/>
      <c r="BZV79" s="5"/>
      <c r="BZW79" s="5"/>
      <c r="BZX79" s="5"/>
      <c r="BZY79" s="5"/>
      <c r="BZZ79" s="5"/>
      <c r="CAA79" s="5"/>
      <c r="CAB79" s="5"/>
      <c r="CAC79" s="5"/>
      <c r="CAD79" s="5"/>
      <c r="CAE79" s="5"/>
      <c r="CAF79" s="5"/>
      <c r="CAG79" s="5"/>
      <c r="CAH79" s="5"/>
      <c r="CAI79" s="5"/>
      <c r="CAJ79" s="5"/>
      <c r="CAK79" s="5"/>
      <c r="CAL79" s="5"/>
      <c r="CAM79" s="5"/>
      <c r="CAN79" s="5"/>
      <c r="CAO79" s="5"/>
      <c r="CAP79" s="5"/>
      <c r="CAQ79" s="5"/>
      <c r="CAR79" s="5"/>
      <c r="CAS79" s="5"/>
      <c r="CAT79" s="5"/>
      <c r="CAU79" s="5"/>
      <c r="CAV79" s="5"/>
      <c r="CAW79" s="5"/>
      <c r="CAX79" s="5"/>
      <c r="CAY79" s="5"/>
      <c r="CAZ79" s="5"/>
      <c r="CBA79" s="5"/>
      <c r="CBB79" s="5"/>
      <c r="CBC79" s="5"/>
      <c r="CBD79" s="5"/>
      <c r="CBE79" s="5"/>
      <c r="CBF79" s="5"/>
      <c r="CBG79" s="5"/>
      <c r="CBH79" s="5"/>
      <c r="CBI79" s="5"/>
      <c r="CBJ79" s="5"/>
      <c r="CBK79" s="5"/>
      <c r="CBL79" s="5"/>
      <c r="CBM79" s="5"/>
      <c r="CBN79" s="5"/>
      <c r="CBO79" s="5"/>
      <c r="CBP79" s="5"/>
      <c r="CBQ79" s="5"/>
      <c r="CBR79" s="5"/>
      <c r="CBS79" s="5"/>
      <c r="CBT79" s="5"/>
      <c r="CBU79" s="5"/>
      <c r="CBV79" s="5"/>
      <c r="CBW79" s="5"/>
      <c r="CBX79" s="5"/>
      <c r="CBY79" s="5"/>
      <c r="CBZ79" s="5"/>
      <c r="CCA79" s="5"/>
      <c r="CCB79" s="5"/>
      <c r="CCC79" s="5"/>
      <c r="CCD79" s="5"/>
      <c r="CCE79" s="5"/>
      <c r="CCF79" s="5"/>
      <c r="CCG79" s="5"/>
      <c r="CCH79" s="5"/>
      <c r="CCI79" s="5"/>
      <c r="CCJ79" s="5"/>
      <c r="CCK79" s="5"/>
      <c r="CCL79" s="5"/>
      <c r="CCM79" s="5"/>
      <c r="CCN79" s="5"/>
      <c r="CCO79" s="5"/>
      <c r="CCP79" s="5"/>
      <c r="CCQ79" s="5"/>
      <c r="CCR79" s="5"/>
      <c r="CCS79" s="5"/>
      <c r="CCT79" s="5"/>
      <c r="CCU79" s="5"/>
      <c r="CCV79" s="5"/>
      <c r="CCW79" s="5"/>
      <c r="CCX79" s="5"/>
      <c r="CCY79" s="5"/>
      <c r="CCZ79" s="5"/>
      <c r="CDA79" s="5"/>
      <c r="CDB79" s="5"/>
      <c r="CDC79" s="5"/>
      <c r="CDD79" s="5"/>
      <c r="CDE79" s="5"/>
      <c r="CDF79" s="5"/>
      <c r="CDG79" s="5"/>
      <c r="CDH79" s="5"/>
      <c r="CDI79" s="5"/>
      <c r="CDJ79" s="5"/>
      <c r="CDK79" s="5"/>
      <c r="CDL79" s="5"/>
      <c r="CDM79" s="5"/>
      <c r="CDN79" s="5"/>
      <c r="CDO79" s="5"/>
      <c r="CDP79" s="5"/>
      <c r="CDQ79" s="5"/>
      <c r="CDR79" s="5"/>
      <c r="CDS79" s="5"/>
      <c r="CDT79" s="5"/>
      <c r="CDU79" s="5"/>
      <c r="CDV79" s="5"/>
      <c r="CDW79" s="5"/>
      <c r="CDX79" s="5"/>
      <c r="CDY79" s="5"/>
      <c r="CDZ79" s="5"/>
      <c r="CEA79" s="5"/>
      <c r="CEB79" s="5"/>
      <c r="CEC79" s="5"/>
      <c r="CED79" s="5"/>
      <c r="CEE79" s="5"/>
      <c r="CEF79" s="5"/>
      <c r="CEG79" s="5"/>
      <c r="CEH79" s="5"/>
      <c r="CEI79" s="5"/>
      <c r="CEJ79" s="5"/>
      <c r="CEK79" s="5"/>
      <c r="CEL79" s="5"/>
      <c r="CEM79" s="5"/>
      <c r="CEN79" s="5"/>
      <c r="CEO79" s="5"/>
      <c r="CEP79" s="5"/>
      <c r="CEQ79" s="5"/>
      <c r="CER79" s="5"/>
      <c r="CES79" s="5"/>
      <c r="CET79" s="5"/>
      <c r="CEU79" s="5"/>
      <c r="CEV79" s="5"/>
      <c r="CEW79" s="5"/>
      <c r="CEX79" s="5"/>
      <c r="CEY79" s="5"/>
      <c r="CEZ79" s="5"/>
      <c r="CFA79" s="5"/>
      <c r="CFB79" s="5"/>
      <c r="CFC79" s="5"/>
      <c r="CFD79" s="5"/>
      <c r="CFE79" s="5"/>
      <c r="CFF79" s="5"/>
      <c r="CFG79" s="5"/>
      <c r="CFH79" s="5"/>
      <c r="CFI79" s="5"/>
      <c r="CFJ79" s="5"/>
      <c r="CFK79" s="5"/>
      <c r="CFL79" s="5"/>
      <c r="CFM79" s="5"/>
      <c r="CFN79" s="5"/>
      <c r="CFO79" s="5"/>
      <c r="CFP79" s="5"/>
      <c r="CFQ79" s="5"/>
      <c r="CFR79" s="5"/>
      <c r="CFS79" s="5"/>
      <c r="CFT79" s="5"/>
      <c r="CFU79" s="5"/>
      <c r="CFV79" s="5"/>
      <c r="CFW79" s="5"/>
      <c r="CFX79" s="5"/>
      <c r="CFY79" s="5"/>
      <c r="CFZ79" s="5"/>
      <c r="CGA79" s="5"/>
      <c r="CGB79" s="5"/>
      <c r="CGC79" s="5"/>
      <c r="CGD79" s="5"/>
      <c r="CGE79" s="5"/>
      <c r="CGF79" s="5"/>
      <c r="CGG79" s="5"/>
      <c r="CGH79" s="5"/>
      <c r="CGI79" s="5"/>
      <c r="CGJ79" s="5"/>
      <c r="CGK79" s="5"/>
      <c r="CGL79" s="5"/>
      <c r="CGM79" s="5"/>
      <c r="CGN79" s="5"/>
      <c r="CGO79" s="5"/>
      <c r="CGP79" s="5"/>
      <c r="CGQ79" s="5"/>
      <c r="CGR79" s="5"/>
      <c r="CGS79" s="5"/>
      <c r="CGT79" s="5"/>
      <c r="CGU79" s="5"/>
      <c r="CGV79" s="5"/>
      <c r="CGW79" s="5"/>
      <c r="CGX79" s="5"/>
      <c r="CGY79" s="5"/>
      <c r="CGZ79" s="5"/>
      <c r="CHA79" s="5"/>
      <c r="CHB79" s="5"/>
      <c r="CHC79" s="5"/>
      <c r="CHD79" s="5"/>
      <c r="CHE79" s="5"/>
      <c r="CHF79" s="5"/>
      <c r="CHG79" s="5"/>
      <c r="CHH79" s="5"/>
      <c r="CHI79" s="5"/>
      <c r="CHJ79" s="5"/>
      <c r="CHK79" s="5"/>
      <c r="CHL79" s="5"/>
      <c r="CHM79" s="5"/>
      <c r="CHN79" s="5"/>
      <c r="CHO79" s="5"/>
      <c r="CHP79" s="5"/>
      <c r="CHQ79" s="5"/>
      <c r="CHR79" s="5"/>
      <c r="CHS79" s="5"/>
      <c r="CHT79" s="5"/>
      <c r="CHU79" s="5"/>
      <c r="CHV79" s="5"/>
      <c r="CHW79" s="5"/>
      <c r="CHX79" s="5"/>
      <c r="CHY79" s="5"/>
      <c r="CHZ79" s="5"/>
      <c r="CIA79" s="5"/>
      <c r="CIB79" s="5"/>
      <c r="CIC79" s="5"/>
      <c r="CID79" s="5"/>
      <c r="CIE79" s="5"/>
      <c r="CIF79" s="5"/>
      <c r="CIG79" s="5"/>
      <c r="CIH79" s="5"/>
      <c r="CII79" s="5"/>
      <c r="CIJ79" s="5"/>
      <c r="CIK79" s="5"/>
      <c r="CIL79" s="5"/>
      <c r="CIM79" s="5"/>
      <c r="CIN79" s="5"/>
      <c r="CIO79" s="5"/>
      <c r="CIP79" s="5"/>
      <c r="CIQ79" s="5"/>
      <c r="CIR79" s="5"/>
      <c r="CIS79" s="5"/>
      <c r="CIT79" s="5"/>
      <c r="CIU79" s="5"/>
      <c r="CIV79" s="5"/>
      <c r="CIW79" s="5"/>
      <c r="CIX79" s="5"/>
      <c r="CIY79" s="5"/>
      <c r="CIZ79" s="5"/>
      <c r="CJA79" s="5"/>
      <c r="CJB79" s="5"/>
      <c r="CJC79" s="5"/>
      <c r="CJD79" s="5"/>
      <c r="CJE79" s="5"/>
      <c r="CJF79" s="5"/>
      <c r="CJG79" s="5"/>
      <c r="CJH79" s="5"/>
      <c r="CJI79" s="5"/>
      <c r="CJJ79" s="5"/>
      <c r="CJK79" s="5"/>
      <c r="CJL79" s="5"/>
      <c r="CJM79" s="5"/>
      <c r="CJN79" s="5"/>
      <c r="CJO79" s="5"/>
      <c r="CJP79" s="5"/>
      <c r="CJQ79" s="5"/>
      <c r="CJR79" s="5"/>
      <c r="CJS79" s="5"/>
      <c r="CJT79" s="5"/>
      <c r="CJU79" s="5"/>
      <c r="CJV79" s="5"/>
      <c r="CJW79" s="5"/>
      <c r="CJX79" s="5"/>
      <c r="CJY79" s="5"/>
      <c r="CJZ79" s="5"/>
      <c r="CKA79" s="5"/>
      <c r="CKB79" s="5"/>
      <c r="CKC79" s="5"/>
      <c r="CKD79" s="5"/>
      <c r="CKE79" s="5"/>
      <c r="CKF79" s="5"/>
      <c r="CKG79" s="5"/>
      <c r="CKH79" s="5"/>
      <c r="CKI79" s="5"/>
      <c r="CKJ79" s="5"/>
      <c r="CKK79" s="5"/>
      <c r="CKL79" s="5"/>
      <c r="CKM79" s="5"/>
      <c r="CKN79" s="5"/>
      <c r="CKO79" s="5"/>
      <c r="CKP79" s="5"/>
      <c r="CKQ79" s="5"/>
      <c r="CKR79" s="5"/>
      <c r="CKS79" s="5"/>
      <c r="CKT79" s="5"/>
      <c r="CKU79" s="5"/>
      <c r="CKV79" s="5"/>
      <c r="CKW79" s="5"/>
      <c r="CKX79" s="5"/>
      <c r="CKY79" s="5"/>
      <c r="CKZ79" s="5"/>
      <c r="CLA79" s="5"/>
      <c r="CLB79" s="5"/>
      <c r="CLC79" s="5"/>
      <c r="CLD79" s="5"/>
      <c r="CLE79" s="5"/>
      <c r="CLF79" s="5"/>
      <c r="CLG79" s="5"/>
      <c r="CLH79" s="5"/>
      <c r="CLI79" s="5"/>
      <c r="CLJ79" s="5"/>
      <c r="CLK79" s="5"/>
      <c r="CLL79" s="5"/>
      <c r="CLM79" s="5"/>
      <c r="CLN79" s="5"/>
      <c r="CLO79" s="5"/>
      <c r="CLP79" s="5"/>
      <c r="CLQ79" s="5"/>
      <c r="CLR79" s="5"/>
      <c r="CLS79" s="5"/>
      <c r="CLT79" s="5"/>
      <c r="CLU79" s="5"/>
      <c r="CLV79" s="5"/>
      <c r="CLW79" s="5"/>
      <c r="CLX79" s="5"/>
      <c r="CLY79" s="5"/>
      <c r="CLZ79" s="5"/>
      <c r="CMA79" s="5"/>
      <c r="CMB79" s="5"/>
      <c r="CMC79" s="5"/>
      <c r="CMD79" s="5"/>
      <c r="CME79" s="5"/>
      <c r="CMF79" s="5"/>
      <c r="CMG79" s="5"/>
      <c r="CMH79" s="5"/>
      <c r="CMI79" s="5"/>
      <c r="CMJ79" s="5"/>
      <c r="CMK79" s="5"/>
      <c r="CML79" s="5"/>
      <c r="CMM79" s="5"/>
      <c r="CMN79" s="5"/>
      <c r="CMO79" s="5"/>
      <c r="CMP79" s="5"/>
      <c r="CMQ79" s="5"/>
      <c r="CMR79" s="5"/>
      <c r="CMS79" s="5"/>
      <c r="CMT79" s="5"/>
      <c r="CMU79" s="5"/>
      <c r="CMV79" s="5"/>
      <c r="CMW79" s="5"/>
      <c r="CMX79" s="5"/>
      <c r="CMY79" s="5"/>
      <c r="CMZ79" s="5"/>
      <c r="CNA79" s="5"/>
      <c r="CNB79" s="5"/>
      <c r="CNC79" s="5"/>
      <c r="CND79" s="5"/>
      <c r="CNE79" s="5"/>
      <c r="CNF79" s="5"/>
      <c r="CNG79" s="5"/>
      <c r="CNH79" s="5"/>
      <c r="CNI79" s="5"/>
      <c r="CNJ79" s="5"/>
      <c r="CNK79" s="5"/>
      <c r="CNL79" s="5"/>
      <c r="CNM79" s="5"/>
      <c r="CNN79" s="5"/>
      <c r="CNO79" s="5"/>
      <c r="CNP79" s="5"/>
      <c r="CNQ79" s="5"/>
      <c r="CNR79" s="5"/>
      <c r="CNS79" s="5"/>
      <c r="CNT79" s="5"/>
      <c r="CNU79" s="5"/>
      <c r="CNV79" s="5"/>
      <c r="CNW79" s="5"/>
      <c r="CNX79" s="5"/>
      <c r="CNY79" s="5"/>
      <c r="CNZ79" s="5"/>
      <c r="COA79" s="5"/>
      <c r="COB79" s="5"/>
      <c r="COC79" s="5"/>
      <c r="COD79" s="5"/>
      <c r="COE79" s="5"/>
      <c r="COF79" s="5"/>
      <c r="COG79" s="5"/>
      <c r="COH79" s="5"/>
      <c r="COI79" s="5"/>
      <c r="COJ79" s="5"/>
      <c r="COK79" s="5"/>
      <c r="COL79" s="5"/>
      <c r="COM79" s="5"/>
      <c r="CON79" s="5"/>
      <c r="COO79" s="5"/>
      <c r="COP79" s="5"/>
      <c r="COQ79" s="5"/>
      <c r="COR79" s="5"/>
      <c r="COS79" s="5"/>
      <c r="COT79" s="5"/>
      <c r="COU79" s="5"/>
      <c r="COV79" s="5"/>
      <c r="COW79" s="5"/>
      <c r="COX79" s="5"/>
      <c r="COY79" s="5"/>
      <c r="COZ79" s="5"/>
      <c r="CPA79" s="5"/>
      <c r="CPB79" s="5"/>
      <c r="CPC79" s="5"/>
      <c r="CPD79" s="5"/>
      <c r="CPE79" s="5"/>
      <c r="CPF79" s="5"/>
      <c r="CPG79" s="5"/>
      <c r="CPH79" s="5"/>
      <c r="CPI79" s="5"/>
      <c r="CPJ79" s="5"/>
      <c r="CPK79" s="5"/>
      <c r="CPL79" s="5"/>
      <c r="CPM79" s="5"/>
      <c r="CPN79" s="5"/>
      <c r="CPO79" s="5"/>
      <c r="CPP79" s="5"/>
      <c r="CPQ79" s="5"/>
      <c r="CPR79" s="5"/>
      <c r="CPS79" s="5"/>
      <c r="CPT79" s="5"/>
      <c r="CPU79" s="5"/>
      <c r="CPV79" s="5"/>
      <c r="CPW79" s="5"/>
      <c r="CPX79" s="5"/>
      <c r="CPY79" s="5"/>
      <c r="CPZ79" s="5"/>
      <c r="CQA79" s="5"/>
      <c r="CQB79" s="5"/>
      <c r="CQC79" s="5"/>
      <c r="CQD79" s="5"/>
      <c r="CQE79" s="5"/>
      <c r="CQF79" s="5"/>
      <c r="CQG79" s="5"/>
      <c r="CQH79" s="5"/>
      <c r="CQI79" s="5"/>
      <c r="CQJ79" s="5"/>
      <c r="CQK79" s="5"/>
      <c r="CQL79" s="5"/>
      <c r="CQM79" s="5"/>
      <c r="CQN79" s="5"/>
      <c r="CQO79" s="5"/>
      <c r="CQP79" s="5"/>
      <c r="CQQ79" s="5"/>
      <c r="CQR79" s="5"/>
      <c r="CQS79" s="5"/>
      <c r="CQT79" s="5"/>
      <c r="CQU79" s="5"/>
      <c r="CQV79" s="5"/>
      <c r="CQW79" s="5"/>
      <c r="CQX79" s="5"/>
      <c r="CQY79" s="5"/>
      <c r="CQZ79" s="5"/>
      <c r="CRA79" s="5"/>
      <c r="CRB79" s="5"/>
      <c r="CRC79" s="5"/>
      <c r="CRD79" s="5"/>
      <c r="CRE79" s="5"/>
      <c r="CRF79" s="5"/>
      <c r="CRG79" s="5"/>
      <c r="CRH79" s="5"/>
      <c r="CRI79" s="5"/>
      <c r="CRJ79" s="5"/>
      <c r="CRK79" s="5"/>
      <c r="CRL79" s="5"/>
      <c r="CRM79" s="5"/>
      <c r="CRN79" s="5"/>
      <c r="CRO79" s="5"/>
      <c r="CRP79" s="5"/>
      <c r="CRQ79" s="5"/>
      <c r="CRR79" s="5"/>
      <c r="CRS79" s="5"/>
      <c r="CRT79" s="5"/>
      <c r="CRU79" s="5"/>
      <c r="CRV79" s="5"/>
      <c r="CRW79" s="5"/>
      <c r="CRX79" s="5"/>
      <c r="CRY79" s="5"/>
      <c r="CRZ79" s="5"/>
      <c r="CSA79" s="5"/>
      <c r="CSB79" s="5"/>
      <c r="CSC79" s="5"/>
      <c r="CSD79" s="5"/>
      <c r="CSE79" s="5"/>
      <c r="CSF79" s="5"/>
      <c r="CSG79" s="5"/>
      <c r="CSH79" s="5"/>
      <c r="CSI79" s="5"/>
      <c r="CSJ79" s="5"/>
      <c r="CSK79" s="5"/>
      <c r="CSL79" s="5"/>
      <c r="CSM79" s="5"/>
      <c r="CSN79" s="5"/>
      <c r="CSO79" s="5"/>
      <c r="CSP79" s="5"/>
      <c r="CSQ79" s="5"/>
      <c r="CSR79" s="5"/>
      <c r="CSS79" s="5"/>
      <c r="CST79" s="5"/>
      <c r="CSU79" s="5"/>
      <c r="CSV79" s="5"/>
      <c r="CSW79" s="5"/>
      <c r="CSX79" s="5"/>
      <c r="CSY79" s="5"/>
      <c r="CSZ79" s="5"/>
      <c r="CTA79" s="5"/>
      <c r="CTB79" s="5"/>
      <c r="CTC79" s="5"/>
      <c r="CTD79" s="5"/>
      <c r="CTE79" s="5"/>
      <c r="CTF79" s="5"/>
      <c r="CTG79" s="5"/>
      <c r="CTH79" s="5"/>
      <c r="CTI79" s="5"/>
      <c r="CTJ79" s="5"/>
      <c r="CTK79" s="5"/>
      <c r="CTL79" s="5"/>
      <c r="CTM79" s="5"/>
      <c r="CTN79" s="5"/>
      <c r="CTO79" s="5"/>
      <c r="CTP79" s="5"/>
      <c r="CTQ79" s="5"/>
      <c r="CTR79" s="5"/>
      <c r="CTS79" s="5"/>
      <c r="CTT79" s="5"/>
      <c r="CTU79" s="5"/>
      <c r="CTV79" s="5"/>
      <c r="CTW79" s="5"/>
      <c r="CTX79" s="5"/>
      <c r="CTY79" s="5"/>
      <c r="CTZ79" s="5"/>
      <c r="CUA79" s="5"/>
      <c r="CUB79" s="5"/>
      <c r="CUC79" s="5"/>
      <c r="CUD79" s="5"/>
      <c r="CUE79" s="5"/>
      <c r="CUF79" s="5"/>
      <c r="CUG79" s="5"/>
      <c r="CUH79" s="5"/>
      <c r="CUI79" s="5"/>
      <c r="CUJ79" s="5"/>
      <c r="CUK79" s="5"/>
      <c r="CUL79" s="5"/>
      <c r="CUM79" s="5"/>
      <c r="CUN79" s="5"/>
      <c r="CUO79" s="5"/>
      <c r="CUP79" s="5"/>
      <c r="CUQ79" s="5"/>
      <c r="CUR79" s="5"/>
      <c r="CUS79" s="5"/>
      <c r="CUT79" s="5"/>
      <c r="CUU79" s="5"/>
      <c r="CUV79" s="5"/>
      <c r="CUW79" s="5"/>
      <c r="CUX79" s="5"/>
      <c r="CUY79" s="5"/>
      <c r="CUZ79" s="5"/>
      <c r="CVA79" s="5"/>
      <c r="CVB79" s="5"/>
      <c r="CVC79" s="5"/>
      <c r="CVD79" s="5"/>
      <c r="CVE79" s="5"/>
      <c r="CVF79" s="5"/>
      <c r="CVG79" s="5"/>
      <c r="CVH79" s="5"/>
      <c r="CVI79" s="5"/>
      <c r="CVJ79" s="5"/>
      <c r="CVK79" s="5"/>
      <c r="CVL79" s="5"/>
      <c r="CVM79" s="5"/>
      <c r="CVN79" s="5"/>
      <c r="CVO79" s="5"/>
      <c r="CVP79" s="5"/>
      <c r="CVQ79" s="5"/>
      <c r="CVR79" s="5"/>
      <c r="CVS79" s="5"/>
      <c r="CVT79" s="5"/>
      <c r="CVU79" s="5"/>
      <c r="CVV79" s="5"/>
      <c r="CVW79" s="5"/>
      <c r="CVX79" s="5"/>
      <c r="CVY79" s="5"/>
      <c r="CVZ79" s="5"/>
      <c r="CWA79" s="5"/>
      <c r="CWB79" s="5"/>
      <c r="CWC79" s="5"/>
      <c r="CWD79" s="5"/>
      <c r="CWE79" s="5"/>
      <c r="CWF79" s="5"/>
      <c r="CWG79" s="5"/>
      <c r="CWH79" s="5"/>
      <c r="CWI79" s="5"/>
      <c r="CWJ79" s="5"/>
      <c r="CWK79" s="5"/>
      <c r="CWL79" s="5"/>
      <c r="CWM79" s="5"/>
      <c r="CWN79" s="5"/>
      <c r="CWO79" s="5"/>
      <c r="CWP79" s="5"/>
      <c r="CWQ79" s="5"/>
      <c r="CWR79" s="5"/>
      <c r="CWS79" s="5"/>
      <c r="CWT79" s="5"/>
      <c r="CWU79" s="5"/>
      <c r="CWV79" s="5"/>
      <c r="CWW79" s="5"/>
      <c r="CWX79" s="5"/>
      <c r="CWY79" s="5"/>
      <c r="CWZ79" s="5"/>
      <c r="CXA79" s="5"/>
      <c r="CXB79" s="5"/>
      <c r="CXC79" s="5"/>
      <c r="CXD79" s="5"/>
      <c r="CXE79" s="5"/>
      <c r="CXF79" s="5"/>
      <c r="CXG79" s="5"/>
      <c r="CXH79" s="5"/>
      <c r="CXI79" s="5"/>
      <c r="CXJ79" s="5"/>
      <c r="CXK79" s="5"/>
      <c r="CXL79" s="5"/>
      <c r="CXM79" s="5"/>
      <c r="CXN79" s="5"/>
      <c r="CXO79" s="5"/>
      <c r="CXP79" s="5"/>
      <c r="CXQ79" s="5"/>
      <c r="CXR79" s="5"/>
      <c r="CXS79" s="5"/>
      <c r="CXT79" s="5"/>
      <c r="CXU79" s="5"/>
      <c r="CXV79" s="5"/>
      <c r="CXW79" s="5"/>
      <c r="CXX79" s="5"/>
      <c r="CXY79" s="5"/>
      <c r="CXZ79" s="5"/>
      <c r="CYA79" s="5"/>
      <c r="CYB79" s="5"/>
      <c r="CYC79" s="5"/>
      <c r="CYD79" s="5"/>
      <c r="CYE79" s="5"/>
      <c r="CYF79" s="5"/>
      <c r="CYG79" s="5"/>
      <c r="CYH79" s="5"/>
      <c r="CYI79" s="5"/>
      <c r="CYJ79" s="5"/>
      <c r="CYK79" s="5"/>
      <c r="CYL79" s="5"/>
      <c r="CYM79" s="5"/>
      <c r="CYN79" s="5"/>
      <c r="CYO79" s="5"/>
      <c r="CYP79" s="5"/>
      <c r="CYQ79" s="5"/>
      <c r="CYR79" s="5"/>
      <c r="CYS79" s="5"/>
      <c r="CYT79" s="5"/>
      <c r="CYU79" s="5"/>
      <c r="CYV79" s="5"/>
      <c r="CYW79" s="5"/>
      <c r="CYX79" s="5"/>
      <c r="CYY79" s="5"/>
      <c r="CYZ79" s="5"/>
      <c r="CZA79" s="5"/>
      <c r="CZB79" s="5"/>
      <c r="CZC79" s="5"/>
      <c r="CZD79" s="5"/>
      <c r="CZE79" s="5"/>
      <c r="CZF79" s="5"/>
      <c r="CZG79" s="5"/>
      <c r="CZH79" s="5"/>
      <c r="CZI79" s="5"/>
      <c r="CZJ79" s="5"/>
      <c r="CZK79" s="5"/>
      <c r="CZL79" s="5"/>
      <c r="CZM79" s="5"/>
      <c r="CZN79" s="5"/>
      <c r="CZO79" s="5"/>
      <c r="CZP79" s="5"/>
      <c r="CZQ79" s="5"/>
      <c r="CZR79" s="5"/>
      <c r="CZS79" s="5"/>
      <c r="CZT79" s="5"/>
      <c r="CZU79" s="5"/>
      <c r="CZV79" s="5"/>
      <c r="CZW79" s="5"/>
      <c r="CZX79" s="5"/>
      <c r="CZY79" s="5"/>
      <c r="CZZ79" s="5"/>
      <c r="DAA79" s="5"/>
      <c r="DAB79" s="5"/>
      <c r="DAC79" s="5"/>
      <c r="DAD79" s="5"/>
      <c r="DAE79" s="5"/>
      <c r="DAF79" s="5"/>
      <c r="DAG79" s="5"/>
      <c r="DAH79" s="5"/>
      <c r="DAI79" s="5"/>
      <c r="DAJ79" s="5"/>
      <c r="DAK79" s="5"/>
      <c r="DAL79" s="5"/>
      <c r="DAM79" s="5"/>
      <c r="DAN79" s="5"/>
      <c r="DAO79" s="5"/>
      <c r="DAP79" s="5"/>
      <c r="DAQ79" s="5"/>
      <c r="DAR79" s="5"/>
      <c r="DAS79" s="5"/>
      <c r="DAT79" s="5"/>
      <c r="DAU79" s="5"/>
      <c r="DAV79" s="5"/>
      <c r="DAW79" s="5"/>
      <c r="DAX79" s="5"/>
      <c r="DAY79" s="5"/>
      <c r="DAZ79" s="5"/>
      <c r="DBA79" s="5"/>
      <c r="DBB79" s="5"/>
      <c r="DBC79" s="5"/>
      <c r="DBD79" s="5"/>
      <c r="DBE79" s="5"/>
      <c r="DBF79" s="5"/>
      <c r="DBG79" s="5"/>
      <c r="DBH79" s="5"/>
      <c r="DBI79" s="5"/>
      <c r="DBJ79" s="5"/>
      <c r="DBK79" s="5"/>
      <c r="DBL79" s="5"/>
      <c r="DBM79" s="5"/>
      <c r="DBN79" s="5"/>
      <c r="DBO79" s="5"/>
      <c r="DBP79" s="5"/>
      <c r="DBQ79" s="5"/>
      <c r="DBR79" s="5"/>
      <c r="DBS79" s="5"/>
      <c r="DBT79" s="5"/>
      <c r="DBU79" s="5"/>
      <c r="DBV79" s="5"/>
      <c r="DBW79" s="5"/>
      <c r="DBX79" s="5"/>
      <c r="DBY79" s="5"/>
      <c r="DBZ79" s="5"/>
      <c r="DCA79" s="5"/>
      <c r="DCB79" s="5"/>
      <c r="DCC79" s="5"/>
      <c r="DCD79" s="5"/>
      <c r="DCE79" s="5"/>
      <c r="DCF79" s="5"/>
      <c r="DCG79" s="5"/>
      <c r="DCH79" s="5"/>
      <c r="DCI79" s="5"/>
      <c r="DCJ79" s="5"/>
      <c r="DCK79" s="5"/>
      <c r="DCL79" s="5"/>
      <c r="DCM79" s="5"/>
      <c r="DCN79" s="5"/>
      <c r="DCO79" s="5"/>
      <c r="DCP79" s="5"/>
      <c r="DCQ79" s="5"/>
      <c r="DCR79" s="5"/>
      <c r="DCS79" s="5"/>
      <c r="DCT79" s="5"/>
      <c r="DCU79" s="5"/>
      <c r="DCV79" s="5"/>
      <c r="DCW79" s="5"/>
      <c r="DCX79" s="5"/>
      <c r="DCY79" s="5"/>
      <c r="DCZ79" s="5"/>
      <c r="DDA79" s="5"/>
      <c r="DDB79" s="5"/>
      <c r="DDC79" s="5"/>
      <c r="DDD79" s="5"/>
      <c r="DDE79" s="5"/>
      <c r="DDF79" s="5"/>
      <c r="DDG79" s="5"/>
      <c r="DDH79" s="5"/>
      <c r="DDI79" s="5"/>
      <c r="DDJ79" s="5"/>
      <c r="DDK79" s="5"/>
      <c r="DDL79" s="5"/>
      <c r="DDM79" s="5"/>
      <c r="DDN79" s="5"/>
      <c r="DDO79" s="5"/>
      <c r="DDP79" s="5"/>
      <c r="DDQ79" s="5"/>
      <c r="DDR79" s="5"/>
      <c r="DDS79" s="5"/>
      <c r="DDT79" s="5"/>
      <c r="DDU79" s="5"/>
      <c r="DDV79" s="5"/>
      <c r="DDW79" s="5"/>
      <c r="DDX79" s="5"/>
      <c r="DDY79" s="5"/>
      <c r="DDZ79" s="5"/>
      <c r="DEA79" s="5"/>
      <c r="DEB79" s="5"/>
      <c r="DEC79" s="5"/>
      <c r="DED79" s="5"/>
      <c r="DEE79" s="5"/>
      <c r="DEF79" s="5"/>
      <c r="DEG79" s="5"/>
      <c r="DEH79" s="5"/>
      <c r="DEI79" s="5"/>
      <c r="DEJ79" s="5"/>
      <c r="DEK79" s="5"/>
      <c r="DEL79" s="5"/>
      <c r="DEM79" s="5"/>
      <c r="DEN79" s="5"/>
      <c r="DEO79" s="5"/>
      <c r="DEP79" s="5"/>
      <c r="DEQ79" s="5"/>
      <c r="DER79" s="5"/>
      <c r="DES79" s="5"/>
      <c r="DET79" s="5"/>
      <c r="DEU79" s="5"/>
      <c r="DEV79" s="5"/>
      <c r="DEW79" s="5"/>
      <c r="DEX79" s="5"/>
      <c r="DEY79" s="5"/>
      <c r="DEZ79" s="5"/>
      <c r="DFA79" s="5"/>
      <c r="DFB79" s="5"/>
      <c r="DFC79" s="5"/>
      <c r="DFD79" s="5"/>
      <c r="DFE79" s="5"/>
      <c r="DFF79" s="5"/>
      <c r="DFG79" s="5"/>
      <c r="DFH79" s="5"/>
      <c r="DFI79" s="5"/>
      <c r="DFJ79" s="5"/>
      <c r="DFK79" s="5"/>
      <c r="DFL79" s="5"/>
      <c r="DFM79" s="5"/>
      <c r="DFN79" s="5"/>
      <c r="DFO79" s="5"/>
      <c r="DFP79" s="5"/>
      <c r="DFQ79" s="5"/>
      <c r="DFR79" s="5"/>
      <c r="DFS79" s="5"/>
      <c r="DFT79" s="5"/>
      <c r="DFU79" s="5"/>
      <c r="DFV79" s="5"/>
      <c r="DFW79" s="5"/>
      <c r="DFX79" s="5"/>
      <c r="DFY79" s="5"/>
      <c r="DFZ79" s="5"/>
      <c r="DGA79" s="5"/>
      <c r="DGB79" s="5"/>
      <c r="DGC79" s="5"/>
      <c r="DGD79" s="5"/>
      <c r="DGE79" s="5"/>
      <c r="DGF79" s="5"/>
      <c r="DGG79" s="5"/>
      <c r="DGH79" s="5"/>
      <c r="DGI79" s="5"/>
      <c r="DGJ79" s="5"/>
      <c r="DGK79" s="5"/>
      <c r="DGL79" s="5"/>
      <c r="DGM79" s="5"/>
      <c r="DGN79" s="5"/>
      <c r="DGO79" s="5"/>
      <c r="DGP79" s="5"/>
      <c r="DGQ79" s="5"/>
      <c r="DGR79" s="5"/>
      <c r="DGS79" s="5"/>
      <c r="DGT79" s="5"/>
      <c r="DGU79" s="5"/>
      <c r="DGV79" s="5"/>
      <c r="DGW79" s="5"/>
      <c r="DGX79" s="5"/>
      <c r="DGY79" s="5"/>
      <c r="DGZ79" s="5"/>
      <c r="DHA79" s="5"/>
      <c r="DHB79" s="5"/>
      <c r="DHC79" s="5"/>
      <c r="DHD79" s="5"/>
      <c r="DHE79" s="5"/>
      <c r="DHF79" s="5"/>
      <c r="DHG79" s="5"/>
      <c r="DHH79" s="5"/>
      <c r="DHI79" s="5"/>
      <c r="DHJ79" s="5"/>
      <c r="DHK79" s="5"/>
      <c r="DHL79" s="5"/>
      <c r="DHM79" s="5"/>
      <c r="DHN79" s="5"/>
      <c r="DHO79" s="5"/>
      <c r="DHP79" s="5"/>
      <c r="DHQ79" s="5"/>
      <c r="DHR79" s="5"/>
      <c r="DHS79" s="5"/>
      <c r="DHT79" s="5"/>
      <c r="DHU79" s="5"/>
      <c r="DHV79" s="5"/>
      <c r="DHW79" s="5"/>
      <c r="DHX79" s="5"/>
      <c r="DHY79" s="5"/>
      <c r="DHZ79" s="5"/>
      <c r="DIA79" s="5"/>
      <c r="DIB79" s="5"/>
      <c r="DIC79" s="5"/>
      <c r="DID79" s="5"/>
      <c r="DIE79" s="5"/>
      <c r="DIF79" s="5"/>
      <c r="DIG79" s="5"/>
      <c r="DIH79" s="5"/>
      <c r="DII79" s="5"/>
      <c r="DIJ79" s="5"/>
      <c r="DIK79" s="5"/>
      <c r="DIL79" s="5"/>
      <c r="DIM79" s="5"/>
      <c r="DIN79" s="5"/>
      <c r="DIO79" s="5"/>
      <c r="DIP79" s="5"/>
      <c r="DIQ79" s="5"/>
      <c r="DIR79" s="5"/>
      <c r="DIS79" s="5"/>
      <c r="DIT79" s="5"/>
      <c r="DIU79" s="5"/>
      <c r="DIV79" s="5"/>
      <c r="DIW79" s="5"/>
      <c r="DIX79" s="5"/>
      <c r="DIY79" s="5"/>
      <c r="DIZ79" s="5"/>
      <c r="DJA79" s="5"/>
      <c r="DJB79" s="5"/>
      <c r="DJC79" s="5"/>
      <c r="DJD79" s="5"/>
      <c r="DJE79" s="5"/>
      <c r="DJF79" s="5"/>
      <c r="DJG79" s="5"/>
      <c r="DJH79" s="5"/>
      <c r="DJI79" s="5"/>
      <c r="DJJ79" s="5"/>
      <c r="DJK79" s="5"/>
      <c r="DJL79" s="5"/>
      <c r="DJM79" s="5"/>
      <c r="DJN79" s="5"/>
      <c r="DJO79" s="5"/>
      <c r="DJP79" s="5"/>
      <c r="DJQ79" s="5"/>
      <c r="DJR79" s="5"/>
      <c r="DJS79" s="5"/>
      <c r="DJT79" s="5"/>
      <c r="DJU79" s="5"/>
      <c r="DJV79" s="5"/>
      <c r="DJW79" s="5"/>
      <c r="DJX79" s="5"/>
      <c r="DJY79" s="5"/>
      <c r="DJZ79" s="5"/>
      <c r="DKA79" s="5"/>
      <c r="DKB79" s="5"/>
      <c r="DKC79" s="5"/>
      <c r="DKD79" s="5"/>
      <c r="DKE79" s="5"/>
      <c r="DKF79" s="5"/>
      <c r="DKG79" s="5"/>
      <c r="DKH79" s="5"/>
      <c r="DKI79" s="5"/>
      <c r="DKJ79" s="5"/>
      <c r="DKK79" s="5"/>
      <c r="DKL79" s="5"/>
      <c r="DKM79" s="5"/>
      <c r="DKN79" s="5"/>
      <c r="DKO79" s="5"/>
      <c r="DKP79" s="5"/>
      <c r="DKQ79" s="5"/>
      <c r="DKR79" s="5"/>
      <c r="DKS79" s="5"/>
      <c r="DKT79" s="5"/>
      <c r="DKU79" s="5"/>
      <c r="DKV79" s="5"/>
      <c r="DKW79" s="5"/>
      <c r="DKX79" s="5"/>
      <c r="DKY79" s="5"/>
      <c r="DKZ79" s="5"/>
      <c r="DLA79" s="5"/>
      <c r="DLB79" s="5"/>
      <c r="DLC79" s="5"/>
      <c r="DLD79" s="5"/>
      <c r="DLE79" s="5"/>
      <c r="DLF79" s="5"/>
      <c r="DLG79" s="5"/>
      <c r="DLH79" s="5"/>
      <c r="DLI79" s="5"/>
      <c r="DLJ79" s="5"/>
      <c r="DLK79" s="5"/>
      <c r="DLL79" s="5"/>
      <c r="DLM79" s="5"/>
      <c r="DLN79" s="5"/>
      <c r="DLO79" s="5"/>
      <c r="DLP79" s="5"/>
      <c r="DLQ79" s="5"/>
      <c r="DLR79" s="5"/>
      <c r="DLS79" s="5"/>
      <c r="DLT79" s="5"/>
      <c r="DLU79" s="5"/>
      <c r="DLV79" s="5"/>
      <c r="DLW79" s="5"/>
      <c r="DLX79" s="5"/>
      <c r="DLY79" s="5"/>
      <c r="DLZ79" s="5"/>
      <c r="DMA79" s="5"/>
      <c r="DMB79" s="5"/>
      <c r="DMC79" s="5"/>
      <c r="DMD79" s="5"/>
      <c r="DME79" s="5"/>
      <c r="DMF79" s="5"/>
      <c r="DMG79" s="5"/>
      <c r="DMH79" s="5"/>
      <c r="DMI79" s="5"/>
      <c r="DMJ79" s="5"/>
      <c r="DMK79" s="5"/>
      <c r="DML79" s="5"/>
      <c r="DMM79" s="5"/>
      <c r="DMN79" s="5"/>
      <c r="DMO79" s="5"/>
      <c r="DMP79" s="5"/>
      <c r="DMQ79" s="5"/>
      <c r="DMR79" s="5"/>
      <c r="DMS79" s="5"/>
      <c r="DMT79" s="5"/>
      <c r="DMU79" s="5"/>
      <c r="DMV79" s="5"/>
      <c r="DMW79" s="5"/>
      <c r="DMX79" s="5"/>
      <c r="DMY79" s="5"/>
      <c r="DMZ79" s="5"/>
      <c r="DNA79" s="5"/>
      <c r="DNB79" s="5"/>
      <c r="DNC79" s="5"/>
      <c r="DND79" s="5"/>
      <c r="DNE79" s="5"/>
      <c r="DNF79" s="5"/>
      <c r="DNG79" s="5"/>
      <c r="DNH79" s="5"/>
      <c r="DNI79" s="5"/>
      <c r="DNJ79" s="5"/>
      <c r="DNK79" s="5"/>
      <c r="DNL79" s="5"/>
      <c r="DNM79" s="5"/>
      <c r="DNN79" s="5"/>
      <c r="DNO79" s="5"/>
      <c r="DNP79" s="5"/>
      <c r="DNQ79" s="5"/>
      <c r="DNR79" s="5"/>
      <c r="DNS79" s="5"/>
      <c r="DNT79" s="5"/>
      <c r="DNU79" s="5"/>
      <c r="DNV79" s="5"/>
      <c r="DNW79" s="5"/>
      <c r="DNX79" s="5"/>
      <c r="DNY79" s="5"/>
      <c r="DNZ79" s="5"/>
      <c r="DOA79" s="5"/>
      <c r="DOB79" s="5"/>
      <c r="DOC79" s="5"/>
      <c r="DOD79" s="5"/>
      <c r="DOE79" s="5"/>
      <c r="DOF79" s="5"/>
      <c r="DOG79" s="5"/>
      <c r="DOH79" s="5"/>
      <c r="DOI79" s="5"/>
      <c r="DOJ79" s="5"/>
      <c r="DOK79" s="5"/>
      <c r="DOL79" s="5"/>
      <c r="DOM79" s="5"/>
      <c r="DON79" s="5"/>
      <c r="DOO79" s="5"/>
      <c r="DOP79" s="5"/>
      <c r="DOQ79" s="5"/>
      <c r="DOR79" s="5"/>
      <c r="DOS79" s="5"/>
      <c r="DOT79" s="5"/>
      <c r="DOU79" s="5"/>
      <c r="DOV79" s="5"/>
      <c r="DOW79" s="5"/>
      <c r="DOX79" s="5"/>
      <c r="DOY79" s="5"/>
      <c r="DOZ79" s="5"/>
      <c r="DPA79" s="5"/>
      <c r="DPB79" s="5"/>
      <c r="DPC79" s="5"/>
      <c r="DPD79" s="5"/>
      <c r="DPE79" s="5"/>
      <c r="DPF79" s="5"/>
      <c r="DPG79" s="5"/>
      <c r="DPH79" s="5"/>
      <c r="DPI79" s="5"/>
      <c r="DPJ79" s="5"/>
      <c r="DPK79" s="5"/>
      <c r="DPL79" s="5"/>
      <c r="DPM79" s="5"/>
      <c r="DPN79" s="5"/>
      <c r="DPO79" s="5"/>
      <c r="DPP79" s="5"/>
      <c r="DPQ79" s="5"/>
      <c r="DPR79" s="5"/>
      <c r="DPS79" s="5"/>
      <c r="DPT79" s="5"/>
      <c r="DPU79" s="5"/>
      <c r="DPV79" s="5"/>
      <c r="DPW79" s="5"/>
      <c r="DPX79" s="5"/>
      <c r="DPY79" s="5"/>
      <c r="DPZ79" s="5"/>
      <c r="DQA79" s="5"/>
      <c r="DQB79" s="5"/>
      <c r="DQC79" s="5"/>
      <c r="DQD79" s="5"/>
      <c r="DQE79" s="5"/>
      <c r="DQF79" s="5"/>
      <c r="DQG79" s="5"/>
      <c r="DQH79" s="5"/>
      <c r="DQI79" s="5"/>
      <c r="DQJ79" s="5"/>
      <c r="DQK79" s="5"/>
      <c r="DQL79" s="5"/>
      <c r="DQM79" s="5"/>
      <c r="DQN79" s="5"/>
      <c r="DQO79" s="5"/>
      <c r="DQP79" s="5"/>
      <c r="DQQ79" s="5"/>
      <c r="DQR79" s="5"/>
      <c r="DQS79" s="5"/>
      <c r="DQT79" s="5"/>
      <c r="DQU79" s="5"/>
      <c r="DQV79" s="5"/>
      <c r="DQW79" s="5"/>
      <c r="DQX79" s="5"/>
      <c r="DQY79" s="5"/>
      <c r="DQZ79" s="5"/>
      <c r="DRA79" s="5"/>
      <c r="DRB79" s="5"/>
      <c r="DRC79" s="5"/>
      <c r="DRD79" s="5"/>
      <c r="DRE79" s="5"/>
      <c r="DRF79" s="5"/>
      <c r="DRG79" s="5"/>
      <c r="DRH79" s="5"/>
      <c r="DRI79" s="5"/>
      <c r="DRJ79" s="5"/>
      <c r="DRK79" s="5"/>
      <c r="DRL79" s="5"/>
      <c r="DRM79" s="5"/>
      <c r="DRN79" s="5"/>
      <c r="DRO79" s="5"/>
      <c r="DRP79" s="5"/>
      <c r="DRQ79" s="5"/>
      <c r="DRR79" s="5"/>
      <c r="DRS79" s="5"/>
      <c r="DRT79" s="5"/>
      <c r="DRU79" s="5"/>
      <c r="DRV79" s="5"/>
      <c r="DRW79" s="5"/>
      <c r="DRX79" s="5"/>
      <c r="DRY79" s="5"/>
      <c r="DRZ79" s="5"/>
      <c r="DSA79" s="5"/>
      <c r="DSB79" s="5"/>
      <c r="DSC79" s="5"/>
      <c r="DSD79" s="5"/>
      <c r="DSE79" s="5"/>
      <c r="DSF79" s="5"/>
      <c r="DSG79" s="5"/>
      <c r="DSH79" s="5"/>
      <c r="DSI79" s="5"/>
      <c r="DSJ79" s="5"/>
      <c r="DSK79" s="5"/>
      <c r="DSL79" s="5"/>
      <c r="DSM79" s="5"/>
      <c r="DSN79" s="5"/>
      <c r="DSO79" s="5"/>
      <c r="DSP79" s="5"/>
      <c r="DSQ79" s="5"/>
      <c r="DSR79" s="5"/>
      <c r="DSS79" s="5"/>
      <c r="DST79" s="5"/>
      <c r="DSU79" s="5"/>
      <c r="DSV79" s="5"/>
      <c r="DSW79" s="5"/>
      <c r="DSX79" s="5"/>
      <c r="DSY79" s="5"/>
      <c r="DSZ79" s="5"/>
      <c r="DTA79" s="5"/>
      <c r="DTB79" s="5"/>
      <c r="DTC79" s="5"/>
      <c r="DTD79" s="5"/>
      <c r="DTE79" s="5"/>
      <c r="DTF79" s="5"/>
      <c r="DTG79" s="5"/>
      <c r="DTH79" s="5"/>
      <c r="DTI79" s="5"/>
      <c r="DTJ79" s="5"/>
      <c r="DTK79" s="5"/>
      <c r="DTL79" s="5"/>
      <c r="DTM79" s="5"/>
      <c r="DTN79" s="5"/>
      <c r="DTO79" s="5"/>
      <c r="DTP79" s="5"/>
      <c r="DTQ79" s="5"/>
      <c r="DTR79" s="5"/>
      <c r="DTS79" s="5"/>
      <c r="DTT79" s="5"/>
      <c r="DTU79" s="5"/>
      <c r="DTV79" s="5"/>
      <c r="DTW79" s="5"/>
      <c r="DTX79" s="5"/>
      <c r="DTY79" s="5"/>
      <c r="DTZ79" s="5"/>
      <c r="DUA79" s="5"/>
      <c r="DUB79" s="5"/>
      <c r="DUC79" s="5"/>
      <c r="DUD79" s="5"/>
      <c r="DUE79" s="5"/>
      <c r="DUF79" s="5"/>
      <c r="DUG79" s="5"/>
      <c r="DUH79" s="5"/>
      <c r="DUI79" s="5"/>
      <c r="DUJ79" s="5"/>
      <c r="DUK79" s="5"/>
      <c r="DUL79" s="5"/>
      <c r="DUM79" s="5"/>
      <c r="DUN79" s="5"/>
      <c r="DUO79" s="5"/>
      <c r="DUP79" s="5"/>
      <c r="DUQ79" s="5"/>
      <c r="DUR79" s="5"/>
      <c r="DUS79" s="5"/>
      <c r="DUT79" s="5"/>
      <c r="DUU79" s="5"/>
      <c r="DUV79" s="5"/>
      <c r="DUW79" s="5"/>
      <c r="DUX79" s="5"/>
      <c r="DUY79" s="5"/>
      <c r="DUZ79" s="5"/>
      <c r="DVA79" s="5"/>
      <c r="DVB79" s="5"/>
      <c r="DVC79" s="5"/>
      <c r="DVD79" s="5"/>
      <c r="DVE79" s="5"/>
      <c r="DVF79" s="5"/>
      <c r="DVG79" s="5"/>
      <c r="DVH79" s="5"/>
      <c r="DVI79" s="5"/>
      <c r="DVJ79" s="5"/>
      <c r="DVK79" s="5"/>
      <c r="DVL79" s="5"/>
      <c r="DVM79" s="5"/>
      <c r="DVN79" s="5"/>
      <c r="DVO79" s="5"/>
      <c r="DVP79" s="5"/>
      <c r="DVQ79" s="5"/>
      <c r="DVR79" s="5"/>
      <c r="DVS79" s="5"/>
      <c r="DVT79" s="5"/>
      <c r="DVU79" s="5"/>
      <c r="DVV79" s="5"/>
      <c r="DVW79" s="5"/>
      <c r="DVX79" s="5"/>
      <c r="DVY79" s="5"/>
      <c r="DVZ79" s="5"/>
      <c r="DWA79" s="5"/>
      <c r="DWB79" s="5"/>
      <c r="DWC79" s="5"/>
      <c r="DWD79" s="5"/>
      <c r="DWE79" s="5"/>
      <c r="DWF79" s="5"/>
      <c r="DWG79" s="5"/>
      <c r="DWH79" s="5"/>
      <c r="DWI79" s="5"/>
      <c r="DWJ79" s="5"/>
      <c r="DWK79" s="5"/>
      <c r="DWL79" s="5"/>
      <c r="DWM79" s="5"/>
      <c r="DWN79" s="5"/>
      <c r="DWO79" s="5"/>
      <c r="DWP79" s="5"/>
      <c r="DWQ79" s="5"/>
      <c r="DWR79" s="5"/>
      <c r="DWS79" s="5"/>
      <c r="DWT79" s="5"/>
      <c r="DWU79" s="5"/>
      <c r="DWV79" s="5"/>
      <c r="DWW79" s="5"/>
      <c r="DWX79" s="5"/>
      <c r="DWY79" s="5"/>
      <c r="DWZ79" s="5"/>
      <c r="DXA79" s="5"/>
      <c r="DXB79" s="5"/>
      <c r="DXC79" s="5"/>
      <c r="DXD79" s="5"/>
      <c r="DXE79" s="5"/>
      <c r="DXF79" s="5"/>
      <c r="DXG79" s="5"/>
      <c r="DXH79" s="5"/>
      <c r="DXI79" s="5"/>
      <c r="DXJ79" s="5"/>
      <c r="DXK79" s="5"/>
      <c r="DXL79" s="5"/>
      <c r="DXM79" s="5"/>
      <c r="DXN79" s="5"/>
      <c r="DXO79" s="5"/>
      <c r="DXP79" s="5"/>
      <c r="DXQ79" s="5"/>
      <c r="DXR79" s="5"/>
      <c r="DXS79" s="5"/>
      <c r="DXT79" s="5"/>
      <c r="DXU79" s="5"/>
      <c r="DXV79" s="5"/>
      <c r="DXW79" s="5"/>
      <c r="DXX79" s="5"/>
      <c r="DXY79" s="5"/>
      <c r="DXZ79" s="5"/>
      <c r="DYA79" s="5"/>
      <c r="DYB79" s="5"/>
      <c r="DYC79" s="5"/>
      <c r="DYD79" s="5"/>
      <c r="DYE79" s="5"/>
      <c r="DYF79" s="5"/>
      <c r="DYG79" s="5"/>
      <c r="DYH79" s="5"/>
      <c r="DYI79" s="5"/>
      <c r="DYJ79" s="5"/>
      <c r="DYK79" s="5"/>
      <c r="DYL79" s="5"/>
      <c r="DYM79" s="5"/>
      <c r="DYN79" s="5"/>
      <c r="DYO79" s="5"/>
      <c r="DYP79" s="5"/>
      <c r="DYQ79" s="5"/>
      <c r="DYR79" s="5"/>
      <c r="DYS79" s="5"/>
      <c r="DYT79" s="5"/>
      <c r="DYU79" s="5"/>
      <c r="DYV79" s="5"/>
      <c r="DYW79" s="5"/>
      <c r="DYX79" s="5"/>
      <c r="DYY79" s="5"/>
      <c r="DYZ79" s="5"/>
      <c r="DZA79" s="5"/>
      <c r="DZB79" s="5"/>
      <c r="DZC79" s="5"/>
      <c r="DZD79" s="5"/>
      <c r="DZE79" s="5"/>
      <c r="DZF79" s="5"/>
      <c r="DZG79" s="5"/>
      <c r="DZH79" s="5"/>
      <c r="DZI79" s="5"/>
      <c r="DZJ79" s="5"/>
      <c r="DZK79" s="5"/>
      <c r="DZL79" s="5"/>
      <c r="DZM79" s="5"/>
      <c r="DZN79" s="5"/>
      <c r="DZO79" s="5"/>
      <c r="DZP79" s="5"/>
      <c r="DZQ79" s="5"/>
      <c r="DZR79" s="5"/>
      <c r="DZS79" s="5"/>
      <c r="DZT79" s="5"/>
      <c r="DZU79" s="5"/>
      <c r="DZV79" s="5"/>
      <c r="DZW79" s="5"/>
      <c r="DZX79" s="5"/>
      <c r="DZY79" s="5"/>
      <c r="DZZ79" s="5"/>
      <c r="EAA79" s="5"/>
      <c r="EAB79" s="5"/>
      <c r="EAC79" s="5"/>
      <c r="EAD79" s="5"/>
      <c r="EAE79" s="5"/>
      <c r="EAF79" s="5"/>
      <c r="EAG79" s="5"/>
      <c r="EAH79" s="5"/>
      <c r="EAI79" s="5"/>
      <c r="EAJ79" s="5"/>
      <c r="EAK79" s="5"/>
      <c r="EAL79" s="5"/>
      <c r="EAM79" s="5"/>
      <c r="EAN79" s="5"/>
      <c r="EAO79" s="5"/>
      <c r="EAP79" s="5"/>
      <c r="EAQ79" s="5"/>
      <c r="EAR79" s="5"/>
      <c r="EAS79" s="5"/>
      <c r="EAT79" s="5"/>
      <c r="EAU79" s="5"/>
      <c r="EAV79" s="5"/>
      <c r="EAW79" s="5"/>
      <c r="EAX79" s="5"/>
      <c r="EAY79" s="5"/>
      <c r="EAZ79" s="5"/>
      <c r="EBA79" s="5"/>
      <c r="EBB79" s="5"/>
      <c r="EBC79" s="5"/>
      <c r="EBD79" s="5"/>
      <c r="EBE79" s="5"/>
      <c r="EBF79" s="5"/>
      <c r="EBG79" s="5"/>
      <c r="EBH79" s="5"/>
      <c r="EBI79" s="5"/>
      <c r="EBJ79" s="5"/>
      <c r="EBK79" s="5"/>
      <c r="EBL79" s="5"/>
      <c r="EBM79" s="5"/>
      <c r="EBN79" s="5"/>
      <c r="EBO79" s="5"/>
      <c r="EBP79" s="5"/>
      <c r="EBQ79" s="5"/>
      <c r="EBR79" s="5"/>
      <c r="EBS79" s="5"/>
      <c r="EBT79" s="5"/>
      <c r="EBU79" s="5"/>
      <c r="EBV79" s="5"/>
      <c r="EBW79" s="5"/>
      <c r="EBX79" s="5"/>
      <c r="EBY79" s="5"/>
      <c r="EBZ79" s="5"/>
      <c r="ECA79" s="5"/>
      <c r="ECB79" s="5"/>
      <c r="ECC79" s="5"/>
      <c r="ECD79" s="5"/>
      <c r="ECE79" s="5"/>
      <c r="ECF79" s="5"/>
      <c r="ECG79" s="5"/>
      <c r="ECH79" s="5"/>
      <c r="ECI79" s="5"/>
      <c r="ECJ79" s="5"/>
      <c r="ECK79" s="5"/>
      <c r="ECL79" s="5"/>
      <c r="ECM79" s="5"/>
      <c r="ECN79" s="5"/>
      <c r="ECO79" s="5"/>
      <c r="ECP79" s="5"/>
      <c r="ECQ79" s="5"/>
      <c r="ECR79" s="5"/>
      <c r="ECS79" s="5"/>
      <c r="ECT79" s="5"/>
      <c r="ECU79" s="5"/>
      <c r="ECV79" s="5"/>
      <c r="ECW79" s="5"/>
      <c r="ECX79" s="5"/>
      <c r="ECY79" s="5"/>
      <c r="ECZ79" s="5"/>
      <c r="EDA79" s="5"/>
      <c r="EDB79" s="5"/>
      <c r="EDC79" s="5"/>
      <c r="EDD79" s="5"/>
      <c r="EDE79" s="5"/>
      <c r="EDF79" s="5"/>
      <c r="EDG79" s="5"/>
      <c r="EDH79" s="5"/>
      <c r="EDI79" s="5"/>
      <c r="EDJ79" s="5"/>
      <c r="EDK79" s="5"/>
      <c r="EDL79" s="5"/>
      <c r="EDM79" s="5"/>
      <c r="EDN79" s="5"/>
      <c r="EDO79" s="5"/>
      <c r="EDP79" s="5"/>
      <c r="EDQ79" s="5"/>
      <c r="EDR79" s="5"/>
      <c r="EDS79" s="5"/>
      <c r="EDT79" s="5"/>
      <c r="EDU79" s="5"/>
      <c r="EDV79" s="5"/>
      <c r="EDW79" s="5"/>
      <c r="EDX79" s="5"/>
      <c r="EDY79" s="5"/>
      <c r="EDZ79" s="5"/>
      <c r="EEA79" s="5"/>
      <c r="EEB79" s="5"/>
      <c r="EEC79" s="5"/>
      <c r="EED79" s="5"/>
      <c r="EEE79" s="5"/>
      <c r="EEF79" s="5"/>
      <c r="EEG79" s="5"/>
      <c r="EEH79" s="5"/>
      <c r="EEI79" s="5"/>
      <c r="EEJ79" s="5"/>
      <c r="EEK79" s="5"/>
      <c r="EEL79" s="5"/>
      <c r="EEM79" s="5"/>
      <c r="EEN79" s="5"/>
      <c r="EEO79" s="5"/>
      <c r="EEP79" s="5"/>
      <c r="EEQ79" s="5"/>
      <c r="EER79" s="5"/>
      <c r="EES79" s="5"/>
      <c r="EET79" s="5"/>
      <c r="EEU79" s="5"/>
      <c r="EEV79" s="5"/>
      <c r="EEW79" s="5"/>
      <c r="EEX79" s="5"/>
      <c r="EEY79" s="5"/>
      <c r="EEZ79" s="5"/>
      <c r="EFA79" s="5"/>
      <c r="EFB79" s="5"/>
      <c r="EFC79" s="5"/>
      <c r="EFD79" s="5"/>
      <c r="EFE79" s="5"/>
      <c r="EFF79" s="5"/>
      <c r="EFG79" s="5"/>
      <c r="EFH79" s="5"/>
      <c r="EFI79" s="5"/>
      <c r="EFJ79" s="5"/>
      <c r="EFK79" s="5"/>
      <c r="EFL79" s="5"/>
      <c r="EFM79" s="5"/>
      <c r="EFN79" s="5"/>
      <c r="EFO79" s="5"/>
      <c r="EFP79" s="5"/>
      <c r="EFQ79" s="5"/>
      <c r="EFR79" s="5"/>
      <c r="EFS79" s="5"/>
      <c r="EFT79" s="5"/>
      <c r="EFU79" s="5"/>
      <c r="EFV79" s="5"/>
      <c r="EFW79" s="5"/>
      <c r="EFX79" s="5"/>
      <c r="EFY79" s="5"/>
      <c r="EFZ79" s="5"/>
      <c r="EGA79" s="5"/>
      <c r="EGB79" s="5"/>
      <c r="EGC79" s="5"/>
      <c r="EGD79" s="5"/>
      <c r="EGE79" s="5"/>
      <c r="EGF79" s="5"/>
      <c r="EGG79" s="5"/>
      <c r="EGH79" s="5"/>
      <c r="EGI79" s="5"/>
      <c r="EGJ79" s="5"/>
      <c r="EGK79" s="5"/>
      <c r="EGL79" s="5"/>
      <c r="EGM79" s="5"/>
      <c r="EGN79" s="5"/>
      <c r="EGO79" s="5"/>
      <c r="EGP79" s="5"/>
      <c r="EGQ79" s="5"/>
      <c r="EGR79" s="5"/>
      <c r="EGS79" s="5"/>
      <c r="EGT79" s="5"/>
      <c r="EGU79" s="5"/>
      <c r="EGV79" s="5"/>
      <c r="EGW79" s="5"/>
      <c r="EGX79" s="5"/>
      <c r="EGY79" s="5"/>
      <c r="EGZ79" s="5"/>
      <c r="EHA79" s="5"/>
      <c r="EHB79" s="5"/>
      <c r="EHC79" s="5"/>
      <c r="EHD79" s="5"/>
      <c r="EHE79" s="5"/>
      <c r="EHF79" s="5"/>
      <c r="EHG79" s="5"/>
      <c r="EHH79" s="5"/>
      <c r="EHI79" s="5"/>
      <c r="EHJ79" s="5"/>
      <c r="EHK79" s="5"/>
      <c r="EHL79" s="5"/>
      <c r="EHM79" s="5"/>
      <c r="EHN79" s="5"/>
      <c r="EHO79" s="5"/>
      <c r="EHP79" s="5"/>
      <c r="EHQ79" s="5"/>
      <c r="EHR79" s="5"/>
      <c r="EHS79" s="5"/>
      <c r="EHT79" s="5"/>
      <c r="EHU79" s="5"/>
      <c r="EHV79" s="5"/>
      <c r="EHW79" s="5"/>
      <c r="EHX79" s="5"/>
      <c r="EHY79" s="5"/>
      <c r="EHZ79" s="5"/>
      <c r="EIA79" s="5"/>
      <c r="EIB79" s="5"/>
      <c r="EIC79" s="5"/>
      <c r="EID79" s="5"/>
      <c r="EIE79" s="5"/>
      <c r="EIF79" s="5"/>
      <c r="EIG79" s="5"/>
      <c r="EIH79" s="5"/>
      <c r="EII79" s="5"/>
      <c r="EIJ79" s="5"/>
      <c r="EIK79" s="5"/>
      <c r="EIL79" s="5"/>
      <c r="EIM79" s="5"/>
      <c r="EIN79" s="5"/>
      <c r="EIO79" s="5"/>
      <c r="EIP79" s="5"/>
      <c r="EIQ79" s="5"/>
      <c r="EIR79" s="5"/>
      <c r="EIS79" s="5"/>
      <c r="EIT79" s="5"/>
      <c r="EIU79" s="5"/>
      <c r="EIV79" s="5"/>
      <c r="EIW79" s="5"/>
      <c r="EIX79" s="5"/>
      <c r="EIY79" s="5"/>
      <c r="EIZ79" s="5"/>
      <c r="EJA79" s="5"/>
      <c r="EJB79" s="5"/>
      <c r="EJC79" s="5"/>
      <c r="EJD79" s="5"/>
      <c r="EJE79" s="5"/>
      <c r="EJF79" s="5"/>
      <c r="EJG79" s="5"/>
      <c r="EJH79" s="5"/>
      <c r="EJI79" s="5"/>
      <c r="EJJ79" s="5"/>
      <c r="EJK79" s="5"/>
      <c r="EJL79" s="5"/>
      <c r="EJM79" s="5"/>
      <c r="EJN79" s="5"/>
      <c r="EJO79" s="5"/>
      <c r="EJP79" s="5"/>
      <c r="EJQ79" s="5"/>
      <c r="EJR79" s="5"/>
      <c r="EJS79" s="5"/>
      <c r="EJT79" s="5"/>
      <c r="EJU79" s="5"/>
      <c r="EJV79" s="5"/>
      <c r="EJW79" s="5"/>
      <c r="EJX79" s="5"/>
      <c r="EJY79" s="5"/>
      <c r="EJZ79" s="5"/>
      <c r="EKA79" s="5"/>
      <c r="EKB79" s="5"/>
      <c r="EKC79" s="5"/>
      <c r="EKD79" s="5"/>
      <c r="EKE79" s="5"/>
      <c r="EKF79" s="5"/>
      <c r="EKG79" s="5"/>
      <c r="EKH79" s="5"/>
      <c r="EKI79" s="5"/>
      <c r="EKJ79" s="5"/>
      <c r="EKK79" s="5"/>
      <c r="EKL79" s="5"/>
      <c r="EKM79" s="5"/>
      <c r="EKN79" s="5"/>
      <c r="EKO79" s="5"/>
      <c r="EKP79" s="5"/>
      <c r="EKQ79" s="5"/>
      <c r="EKR79" s="5"/>
      <c r="EKS79" s="5"/>
      <c r="EKT79" s="5"/>
      <c r="EKU79" s="5"/>
      <c r="EKV79" s="5"/>
      <c r="EKW79" s="5"/>
      <c r="EKX79" s="5"/>
      <c r="EKY79" s="5"/>
      <c r="EKZ79" s="5"/>
      <c r="ELA79" s="5"/>
      <c r="ELB79" s="5"/>
      <c r="ELC79" s="5"/>
      <c r="ELD79" s="5"/>
      <c r="ELE79" s="5"/>
      <c r="ELF79" s="5"/>
      <c r="ELG79" s="5"/>
      <c r="ELH79" s="5"/>
      <c r="ELI79" s="5"/>
      <c r="ELJ79" s="5"/>
      <c r="ELK79" s="5"/>
      <c r="ELL79" s="5"/>
      <c r="ELM79" s="5"/>
      <c r="ELN79" s="5"/>
      <c r="ELO79" s="5"/>
      <c r="ELP79" s="5"/>
      <c r="ELQ79" s="5"/>
      <c r="ELR79" s="5"/>
      <c r="ELS79" s="5"/>
      <c r="ELT79" s="5"/>
      <c r="ELU79" s="5"/>
      <c r="ELV79" s="5"/>
      <c r="ELW79" s="5"/>
      <c r="ELX79" s="5"/>
      <c r="ELY79" s="5"/>
      <c r="ELZ79" s="5"/>
      <c r="EMA79" s="5"/>
      <c r="EMB79" s="5"/>
      <c r="EMC79" s="5"/>
      <c r="EMD79" s="5"/>
      <c r="EME79" s="5"/>
      <c r="EMF79" s="5"/>
      <c r="EMG79" s="5"/>
      <c r="EMH79" s="5"/>
      <c r="EMI79" s="5"/>
      <c r="EMJ79" s="5"/>
      <c r="EMK79" s="5"/>
      <c r="EML79" s="5"/>
      <c r="EMM79" s="5"/>
      <c r="EMN79" s="5"/>
      <c r="EMO79" s="5"/>
      <c r="EMP79" s="5"/>
      <c r="EMQ79" s="5"/>
      <c r="EMR79" s="5"/>
      <c r="EMS79" s="5"/>
      <c r="EMT79" s="5"/>
      <c r="EMU79" s="5"/>
      <c r="EMV79" s="5"/>
      <c r="EMW79" s="5"/>
      <c r="EMX79" s="5"/>
      <c r="EMY79" s="5"/>
      <c r="EMZ79" s="5"/>
      <c r="ENA79" s="5"/>
      <c r="ENB79" s="5"/>
      <c r="ENC79" s="5"/>
      <c r="END79" s="5"/>
      <c r="ENE79" s="5"/>
      <c r="ENF79" s="5"/>
      <c r="ENG79" s="5"/>
      <c r="ENH79" s="5"/>
      <c r="ENI79" s="5"/>
      <c r="ENJ79" s="5"/>
      <c r="ENK79" s="5"/>
      <c r="ENL79" s="5"/>
      <c r="ENM79" s="5"/>
      <c r="ENN79" s="5"/>
      <c r="ENO79" s="5"/>
      <c r="ENP79" s="5"/>
      <c r="ENQ79" s="5"/>
      <c r="ENR79" s="5"/>
      <c r="ENS79" s="5"/>
      <c r="ENT79" s="5"/>
      <c r="ENU79" s="5"/>
      <c r="ENV79" s="5"/>
      <c r="ENW79" s="5"/>
      <c r="ENX79" s="5"/>
      <c r="ENY79" s="5"/>
      <c r="ENZ79" s="5"/>
      <c r="EOA79" s="5"/>
      <c r="EOB79" s="5"/>
      <c r="EOC79" s="5"/>
      <c r="EOD79" s="5"/>
      <c r="EOE79" s="5"/>
      <c r="EOF79" s="5"/>
      <c r="EOG79" s="5"/>
      <c r="EOH79" s="5"/>
      <c r="EOI79" s="5"/>
      <c r="EOJ79" s="5"/>
      <c r="EOK79" s="5"/>
      <c r="EOL79" s="5"/>
      <c r="EOM79" s="5"/>
      <c r="EON79" s="5"/>
      <c r="EOO79" s="5"/>
      <c r="EOP79" s="5"/>
      <c r="EOQ79" s="5"/>
      <c r="EOR79" s="5"/>
      <c r="EOS79" s="5"/>
      <c r="EOT79" s="5"/>
      <c r="EOU79" s="5"/>
      <c r="EOV79" s="5"/>
      <c r="EOW79" s="5"/>
      <c r="EOX79" s="5"/>
      <c r="EOY79" s="5"/>
      <c r="EOZ79" s="5"/>
      <c r="EPA79" s="5"/>
      <c r="EPB79" s="5"/>
      <c r="EPC79" s="5"/>
      <c r="EPD79" s="5"/>
      <c r="EPE79" s="5"/>
      <c r="EPF79" s="5"/>
      <c r="EPG79" s="5"/>
      <c r="EPH79" s="5"/>
      <c r="EPI79" s="5"/>
      <c r="EPJ79" s="5"/>
      <c r="EPK79" s="5"/>
      <c r="EPL79" s="5"/>
      <c r="EPM79" s="5"/>
      <c r="EPN79" s="5"/>
      <c r="EPO79" s="5"/>
      <c r="EPP79" s="5"/>
      <c r="EPQ79" s="5"/>
      <c r="EPR79" s="5"/>
      <c r="EPS79" s="5"/>
      <c r="EPT79" s="5"/>
      <c r="EPU79" s="5"/>
      <c r="EPV79" s="5"/>
      <c r="EPW79" s="5"/>
      <c r="EPX79" s="5"/>
      <c r="EPY79" s="5"/>
      <c r="EPZ79" s="5"/>
      <c r="EQA79" s="5"/>
      <c r="EQB79" s="5"/>
      <c r="EQC79" s="5"/>
      <c r="EQD79" s="5"/>
      <c r="EQE79" s="5"/>
      <c r="EQF79" s="5"/>
      <c r="EQG79" s="5"/>
      <c r="EQH79" s="5"/>
      <c r="EQI79" s="5"/>
      <c r="EQJ79" s="5"/>
      <c r="EQK79" s="5"/>
      <c r="EQL79" s="5"/>
      <c r="EQM79" s="5"/>
      <c r="EQN79" s="5"/>
      <c r="EQO79" s="5"/>
      <c r="EQP79" s="5"/>
      <c r="EQQ79" s="5"/>
      <c r="EQR79" s="5"/>
      <c r="EQS79" s="5"/>
      <c r="EQT79" s="5"/>
      <c r="EQU79" s="5"/>
      <c r="EQV79" s="5"/>
      <c r="EQW79" s="5"/>
      <c r="EQX79" s="5"/>
      <c r="EQY79" s="5"/>
      <c r="EQZ79" s="5"/>
      <c r="ERA79" s="5"/>
      <c r="ERB79" s="5"/>
      <c r="ERC79" s="5"/>
      <c r="ERD79" s="5"/>
      <c r="ERE79" s="5"/>
      <c r="ERF79" s="5"/>
      <c r="ERG79" s="5"/>
      <c r="ERH79" s="5"/>
      <c r="ERI79" s="5"/>
      <c r="ERJ79" s="5"/>
      <c r="ERK79" s="5"/>
      <c r="ERL79" s="5"/>
      <c r="ERM79" s="5"/>
      <c r="ERN79" s="5"/>
      <c r="ERO79" s="5"/>
      <c r="ERP79" s="5"/>
      <c r="ERQ79" s="5"/>
      <c r="ERR79" s="5"/>
      <c r="ERS79" s="5"/>
      <c r="ERT79" s="5"/>
      <c r="ERU79" s="5"/>
      <c r="ERV79" s="5"/>
      <c r="ERW79" s="5"/>
      <c r="ERX79" s="5"/>
      <c r="ERY79" s="5"/>
      <c r="ERZ79" s="5"/>
      <c r="ESA79" s="5"/>
      <c r="ESB79" s="5"/>
      <c r="ESC79" s="5"/>
      <c r="ESD79" s="5"/>
      <c r="ESE79" s="5"/>
      <c r="ESF79" s="5"/>
      <c r="ESG79" s="5"/>
      <c r="ESH79" s="5"/>
      <c r="ESI79" s="5"/>
      <c r="ESJ79" s="5"/>
      <c r="ESK79" s="5"/>
      <c r="ESL79" s="5"/>
      <c r="ESM79" s="5"/>
      <c r="ESN79" s="5"/>
      <c r="ESO79" s="5"/>
      <c r="ESP79" s="5"/>
      <c r="ESQ79" s="5"/>
      <c r="ESR79" s="5"/>
      <c r="ESS79" s="5"/>
      <c r="EST79" s="5"/>
      <c r="ESU79" s="5"/>
      <c r="ESV79" s="5"/>
      <c r="ESW79" s="5"/>
      <c r="ESX79" s="5"/>
      <c r="ESY79" s="5"/>
      <c r="ESZ79" s="5"/>
      <c r="ETA79" s="5"/>
      <c r="ETB79" s="5"/>
      <c r="ETC79" s="5"/>
      <c r="ETD79" s="5"/>
      <c r="ETE79" s="5"/>
      <c r="ETF79" s="5"/>
      <c r="ETG79" s="5"/>
      <c r="ETH79" s="5"/>
      <c r="ETI79" s="5"/>
      <c r="ETJ79" s="5"/>
      <c r="ETK79" s="5"/>
      <c r="ETL79" s="5"/>
      <c r="ETM79" s="5"/>
      <c r="ETN79" s="5"/>
      <c r="ETO79" s="5"/>
      <c r="ETP79" s="5"/>
      <c r="ETQ79" s="5"/>
      <c r="ETR79" s="5"/>
      <c r="ETS79" s="5"/>
      <c r="ETT79" s="5"/>
      <c r="ETU79" s="5"/>
      <c r="ETV79" s="5"/>
      <c r="ETW79" s="5"/>
      <c r="ETX79" s="5"/>
      <c r="ETY79" s="5"/>
      <c r="ETZ79" s="5"/>
      <c r="EUA79" s="5"/>
      <c r="EUB79" s="5"/>
      <c r="EUC79" s="5"/>
      <c r="EUD79" s="5"/>
      <c r="EUE79" s="5"/>
      <c r="EUF79" s="5"/>
      <c r="EUG79" s="5"/>
      <c r="EUH79" s="5"/>
      <c r="EUI79" s="5"/>
      <c r="EUJ79" s="5"/>
      <c r="EUK79" s="5"/>
      <c r="EUL79" s="5"/>
      <c r="EUM79" s="5"/>
      <c r="EUN79" s="5"/>
      <c r="EUO79" s="5"/>
      <c r="EUP79" s="5"/>
      <c r="EUQ79" s="5"/>
      <c r="EUR79" s="5"/>
      <c r="EUS79" s="5"/>
      <c r="EUT79" s="5"/>
      <c r="EUU79" s="5"/>
      <c r="EUV79" s="5"/>
      <c r="EUW79" s="5"/>
      <c r="EUX79" s="5"/>
      <c r="EUY79" s="5"/>
      <c r="EUZ79" s="5"/>
      <c r="EVA79" s="5"/>
      <c r="EVB79" s="5"/>
      <c r="EVC79" s="5"/>
      <c r="EVD79" s="5"/>
      <c r="EVE79" s="5"/>
      <c r="EVF79" s="5"/>
      <c r="EVG79" s="5"/>
      <c r="EVH79" s="5"/>
      <c r="EVI79" s="5"/>
      <c r="EVJ79" s="5"/>
      <c r="EVK79" s="5"/>
      <c r="EVL79" s="5"/>
      <c r="EVM79" s="5"/>
      <c r="EVN79" s="5"/>
      <c r="EVO79" s="5"/>
      <c r="EVP79" s="5"/>
      <c r="EVQ79" s="5"/>
      <c r="EVR79" s="5"/>
      <c r="EVS79" s="5"/>
      <c r="EVT79" s="5"/>
      <c r="EVU79" s="5"/>
      <c r="EVV79" s="5"/>
      <c r="EVW79" s="5"/>
      <c r="EVX79" s="5"/>
      <c r="EVY79" s="5"/>
      <c r="EVZ79" s="5"/>
      <c r="EWA79" s="5"/>
      <c r="EWB79" s="5"/>
      <c r="EWC79" s="5"/>
      <c r="EWD79" s="5"/>
      <c r="EWE79" s="5"/>
      <c r="EWF79" s="5"/>
      <c r="EWG79" s="5"/>
      <c r="EWH79" s="5"/>
      <c r="EWI79" s="5"/>
      <c r="EWJ79" s="5"/>
      <c r="EWK79" s="5"/>
      <c r="EWL79" s="5"/>
      <c r="EWM79" s="5"/>
      <c r="EWN79" s="5"/>
      <c r="EWO79" s="5"/>
      <c r="EWP79" s="5"/>
      <c r="EWQ79" s="5"/>
      <c r="EWR79" s="5"/>
      <c r="EWS79" s="5"/>
      <c r="EWT79" s="5"/>
      <c r="EWU79" s="5"/>
      <c r="EWV79" s="5"/>
      <c r="EWW79" s="5"/>
      <c r="EWX79" s="5"/>
      <c r="EWY79" s="5"/>
      <c r="EWZ79" s="5"/>
      <c r="EXA79" s="5"/>
      <c r="EXB79" s="5"/>
      <c r="EXC79" s="5"/>
      <c r="EXD79" s="5"/>
      <c r="EXE79" s="5"/>
      <c r="EXF79" s="5"/>
      <c r="EXG79" s="5"/>
      <c r="EXH79" s="5"/>
      <c r="EXI79" s="5"/>
      <c r="EXJ79" s="5"/>
      <c r="EXK79" s="5"/>
      <c r="EXL79" s="5"/>
      <c r="EXM79" s="5"/>
      <c r="EXN79" s="5"/>
      <c r="EXO79" s="5"/>
      <c r="EXP79" s="5"/>
      <c r="EXQ79" s="5"/>
      <c r="EXR79" s="5"/>
      <c r="EXS79" s="5"/>
      <c r="EXT79" s="5"/>
      <c r="EXU79" s="5"/>
      <c r="EXV79" s="5"/>
      <c r="EXW79" s="5"/>
      <c r="EXX79" s="5"/>
      <c r="EXY79" s="5"/>
      <c r="EXZ79" s="5"/>
      <c r="EYA79" s="5"/>
      <c r="EYB79" s="5"/>
      <c r="EYC79" s="5"/>
      <c r="EYD79" s="5"/>
      <c r="EYE79" s="5"/>
      <c r="EYF79" s="5"/>
      <c r="EYG79" s="5"/>
      <c r="EYH79" s="5"/>
      <c r="EYI79" s="5"/>
      <c r="EYJ79" s="5"/>
      <c r="EYK79" s="5"/>
      <c r="EYL79" s="5"/>
      <c r="EYM79" s="5"/>
      <c r="EYN79" s="5"/>
      <c r="EYO79" s="5"/>
      <c r="EYP79" s="5"/>
      <c r="EYQ79" s="5"/>
      <c r="EYR79" s="5"/>
      <c r="EYS79" s="5"/>
      <c r="EYT79" s="5"/>
      <c r="EYU79" s="5"/>
      <c r="EYV79" s="5"/>
      <c r="EYW79" s="5"/>
      <c r="EYX79" s="5"/>
      <c r="EYY79" s="5"/>
      <c r="EYZ79" s="5"/>
      <c r="EZA79" s="5"/>
      <c r="EZB79" s="5"/>
      <c r="EZC79" s="5"/>
      <c r="EZD79" s="5"/>
      <c r="EZE79" s="5"/>
      <c r="EZF79" s="5"/>
      <c r="EZG79" s="5"/>
      <c r="EZH79" s="5"/>
      <c r="EZI79" s="5"/>
      <c r="EZJ79" s="5"/>
      <c r="EZK79" s="5"/>
      <c r="EZL79" s="5"/>
      <c r="EZM79" s="5"/>
      <c r="EZN79" s="5"/>
      <c r="EZO79" s="5"/>
      <c r="EZP79" s="5"/>
      <c r="EZQ79" s="5"/>
      <c r="EZR79" s="5"/>
      <c r="EZS79" s="5"/>
      <c r="EZT79" s="5"/>
      <c r="EZU79" s="5"/>
      <c r="EZV79" s="5"/>
      <c r="EZW79" s="5"/>
      <c r="EZX79" s="5"/>
      <c r="EZY79" s="5"/>
      <c r="EZZ79" s="5"/>
      <c r="FAA79" s="5"/>
      <c r="FAB79" s="5"/>
      <c r="FAC79" s="5"/>
      <c r="FAD79" s="5"/>
      <c r="FAE79" s="5"/>
      <c r="FAF79" s="5"/>
      <c r="FAG79" s="5"/>
      <c r="FAH79" s="5"/>
      <c r="FAI79" s="5"/>
      <c r="FAJ79" s="5"/>
      <c r="FAK79" s="5"/>
      <c r="FAL79" s="5"/>
      <c r="FAM79" s="5"/>
      <c r="FAN79" s="5"/>
      <c r="FAO79" s="5"/>
      <c r="FAP79" s="5"/>
      <c r="FAQ79" s="5"/>
      <c r="FAR79" s="5"/>
      <c r="FAS79" s="5"/>
      <c r="FAT79" s="5"/>
      <c r="FAU79" s="5"/>
      <c r="FAV79" s="5"/>
      <c r="FAW79" s="5"/>
      <c r="FAX79" s="5"/>
      <c r="FAY79" s="5"/>
      <c r="FAZ79" s="5"/>
      <c r="FBA79" s="5"/>
      <c r="FBB79" s="5"/>
      <c r="FBC79" s="5"/>
      <c r="FBD79" s="5"/>
      <c r="FBE79" s="5"/>
      <c r="FBF79" s="5"/>
      <c r="FBG79" s="5"/>
      <c r="FBH79" s="5"/>
      <c r="FBI79" s="5"/>
      <c r="FBJ79" s="5"/>
      <c r="FBK79" s="5"/>
      <c r="FBL79" s="5"/>
      <c r="FBM79" s="5"/>
      <c r="FBN79" s="5"/>
      <c r="FBO79" s="5"/>
      <c r="FBP79" s="5"/>
      <c r="FBQ79" s="5"/>
      <c r="FBR79" s="5"/>
      <c r="FBS79" s="5"/>
      <c r="FBT79" s="5"/>
      <c r="FBU79" s="5"/>
      <c r="FBV79" s="5"/>
      <c r="FBW79" s="5"/>
      <c r="FBX79" s="5"/>
      <c r="FBY79" s="5"/>
      <c r="FBZ79" s="5"/>
      <c r="FCA79" s="5"/>
      <c r="FCB79" s="5"/>
      <c r="FCC79" s="5"/>
      <c r="FCD79" s="5"/>
      <c r="FCE79" s="5"/>
      <c r="FCF79" s="5"/>
      <c r="FCG79" s="5"/>
      <c r="FCH79" s="5"/>
      <c r="FCI79" s="5"/>
      <c r="FCJ79" s="5"/>
      <c r="FCK79" s="5"/>
      <c r="FCL79" s="5"/>
      <c r="FCM79" s="5"/>
      <c r="FCN79" s="5"/>
      <c r="FCO79" s="5"/>
      <c r="FCP79" s="5"/>
      <c r="FCQ79" s="5"/>
      <c r="FCR79" s="5"/>
      <c r="FCS79" s="5"/>
      <c r="FCT79" s="5"/>
      <c r="FCU79" s="5"/>
      <c r="FCV79" s="5"/>
      <c r="FCW79" s="5"/>
      <c r="FCX79" s="5"/>
      <c r="FCY79" s="5"/>
      <c r="FCZ79" s="5"/>
      <c r="FDA79" s="5"/>
      <c r="FDB79" s="5"/>
      <c r="FDC79" s="5"/>
      <c r="FDD79" s="5"/>
      <c r="FDE79" s="5"/>
      <c r="FDF79" s="5"/>
      <c r="FDG79" s="5"/>
      <c r="FDH79" s="5"/>
      <c r="FDI79" s="5"/>
      <c r="FDJ79" s="5"/>
      <c r="FDK79" s="5"/>
      <c r="FDL79" s="5"/>
      <c r="FDM79" s="5"/>
      <c r="FDN79" s="5"/>
      <c r="FDO79" s="5"/>
      <c r="FDP79" s="5"/>
      <c r="FDQ79" s="5"/>
      <c r="FDR79" s="5"/>
      <c r="FDS79" s="5"/>
      <c r="FDT79" s="5"/>
      <c r="FDU79" s="5"/>
      <c r="FDV79" s="5"/>
      <c r="FDW79" s="5"/>
      <c r="FDX79" s="5"/>
      <c r="FDY79" s="5"/>
      <c r="FDZ79" s="5"/>
      <c r="FEA79" s="5"/>
      <c r="FEB79" s="5"/>
      <c r="FEC79" s="5"/>
      <c r="FED79" s="5"/>
      <c r="FEE79" s="5"/>
      <c r="FEF79" s="5"/>
      <c r="FEG79" s="5"/>
      <c r="FEH79" s="5"/>
      <c r="FEI79" s="5"/>
      <c r="FEJ79" s="5"/>
      <c r="FEK79" s="5"/>
      <c r="FEL79" s="5"/>
      <c r="FEM79" s="5"/>
      <c r="FEN79" s="5"/>
      <c r="FEO79" s="5"/>
      <c r="FEP79" s="5"/>
      <c r="FEQ79" s="5"/>
      <c r="FER79" s="5"/>
      <c r="FES79" s="5"/>
      <c r="FET79" s="5"/>
      <c r="FEU79" s="5"/>
      <c r="FEV79" s="5"/>
      <c r="FEW79" s="5"/>
      <c r="FEX79" s="5"/>
      <c r="FEY79" s="5"/>
      <c r="FEZ79" s="5"/>
      <c r="FFA79" s="5"/>
      <c r="FFB79" s="5"/>
      <c r="FFC79" s="5"/>
      <c r="FFD79" s="5"/>
      <c r="FFE79" s="5"/>
      <c r="FFF79" s="5"/>
      <c r="FFG79" s="5"/>
      <c r="FFH79" s="5"/>
      <c r="FFI79" s="5"/>
      <c r="FFJ79" s="5"/>
      <c r="FFK79" s="5"/>
      <c r="FFL79" s="5"/>
      <c r="FFM79" s="5"/>
      <c r="FFN79" s="5"/>
      <c r="FFO79" s="5"/>
      <c r="FFP79" s="5"/>
      <c r="FFQ79" s="5"/>
      <c r="FFR79" s="5"/>
      <c r="FFS79" s="5"/>
      <c r="FFT79" s="5"/>
      <c r="FFU79" s="5"/>
      <c r="FFV79" s="5"/>
      <c r="FFW79" s="5"/>
      <c r="FFX79" s="5"/>
      <c r="FFY79" s="5"/>
      <c r="FFZ79" s="5"/>
      <c r="FGA79" s="5"/>
      <c r="FGB79" s="5"/>
      <c r="FGC79" s="5"/>
      <c r="FGD79" s="5"/>
      <c r="FGE79" s="5"/>
      <c r="FGF79" s="5"/>
      <c r="FGG79" s="5"/>
      <c r="FGH79" s="5"/>
      <c r="FGI79" s="5"/>
      <c r="FGJ79" s="5"/>
      <c r="FGK79" s="5"/>
      <c r="FGL79" s="5"/>
      <c r="FGM79" s="5"/>
      <c r="FGN79" s="5"/>
      <c r="FGO79" s="5"/>
      <c r="FGP79" s="5"/>
      <c r="FGQ79" s="5"/>
      <c r="FGR79" s="5"/>
      <c r="FGS79" s="5"/>
      <c r="FGT79" s="5"/>
      <c r="FGU79" s="5"/>
      <c r="FGV79" s="5"/>
      <c r="FGW79" s="5"/>
      <c r="FGX79" s="5"/>
      <c r="FGY79" s="5"/>
      <c r="FGZ79" s="5"/>
      <c r="FHA79" s="5"/>
      <c r="FHB79" s="5"/>
      <c r="FHC79" s="5"/>
      <c r="FHD79" s="5"/>
      <c r="FHE79" s="5"/>
      <c r="FHF79" s="5"/>
      <c r="FHG79" s="5"/>
      <c r="FHH79" s="5"/>
      <c r="FHI79" s="5"/>
      <c r="FHJ79" s="5"/>
      <c r="FHK79" s="5"/>
      <c r="FHL79" s="5"/>
      <c r="FHM79" s="5"/>
      <c r="FHN79" s="5"/>
      <c r="FHO79" s="5"/>
      <c r="FHP79" s="5"/>
      <c r="FHQ79" s="5"/>
      <c r="FHR79" s="5"/>
      <c r="FHS79" s="5"/>
      <c r="FHT79" s="5"/>
      <c r="FHU79" s="5"/>
      <c r="FHV79" s="5"/>
      <c r="FHW79" s="5"/>
      <c r="FHX79" s="5"/>
      <c r="FHY79" s="5"/>
      <c r="FHZ79" s="5"/>
      <c r="FIA79" s="5"/>
      <c r="FIB79" s="5"/>
      <c r="FIC79" s="5"/>
      <c r="FID79" s="5"/>
      <c r="FIE79" s="5"/>
      <c r="FIF79" s="5"/>
      <c r="FIG79" s="5"/>
      <c r="FIH79" s="5"/>
      <c r="FII79" s="5"/>
      <c r="FIJ79" s="5"/>
      <c r="FIK79" s="5"/>
      <c r="FIL79" s="5"/>
      <c r="FIM79" s="5"/>
      <c r="FIN79" s="5"/>
      <c r="FIO79" s="5"/>
      <c r="FIP79" s="5"/>
      <c r="FIQ79" s="5"/>
      <c r="FIR79" s="5"/>
      <c r="FIS79" s="5"/>
      <c r="FIT79" s="5"/>
      <c r="FIU79" s="5"/>
      <c r="FIV79" s="5"/>
      <c r="FIW79" s="5"/>
      <c r="FIX79" s="5"/>
      <c r="FIY79" s="5"/>
      <c r="FIZ79" s="5"/>
      <c r="FJA79" s="5"/>
      <c r="FJB79" s="5"/>
      <c r="FJC79" s="5"/>
      <c r="FJD79" s="5"/>
      <c r="FJE79" s="5"/>
      <c r="FJF79" s="5"/>
      <c r="FJG79" s="5"/>
      <c r="FJH79" s="5"/>
      <c r="FJI79" s="5"/>
      <c r="FJJ79" s="5"/>
      <c r="FJK79" s="5"/>
      <c r="FJL79" s="5"/>
      <c r="FJM79" s="5"/>
      <c r="FJN79" s="5"/>
      <c r="FJO79" s="5"/>
      <c r="FJP79" s="5"/>
      <c r="FJQ79" s="5"/>
      <c r="FJR79" s="5"/>
      <c r="FJS79" s="5"/>
      <c r="FJT79" s="5"/>
      <c r="FJU79" s="5"/>
      <c r="FJV79" s="5"/>
      <c r="FJW79" s="5"/>
      <c r="FJX79" s="5"/>
      <c r="FJY79" s="5"/>
      <c r="FJZ79" s="5"/>
      <c r="FKA79" s="5"/>
      <c r="FKB79" s="5"/>
      <c r="FKC79" s="5"/>
      <c r="FKD79" s="5"/>
      <c r="FKE79" s="5"/>
      <c r="FKF79" s="5"/>
      <c r="FKG79" s="5"/>
      <c r="FKH79" s="5"/>
      <c r="FKI79" s="5"/>
      <c r="FKJ79" s="5"/>
      <c r="FKK79" s="5"/>
      <c r="FKL79" s="5"/>
      <c r="FKM79" s="5"/>
      <c r="FKN79" s="5"/>
      <c r="FKO79" s="5"/>
      <c r="FKP79" s="5"/>
      <c r="FKQ79" s="5"/>
      <c r="FKR79" s="5"/>
      <c r="FKS79" s="5"/>
      <c r="FKT79" s="5"/>
      <c r="FKU79" s="5"/>
      <c r="FKV79" s="5"/>
      <c r="FKW79" s="5"/>
      <c r="FKX79" s="5"/>
      <c r="FKY79" s="5"/>
      <c r="FKZ79" s="5"/>
      <c r="FLA79" s="5"/>
      <c r="FLB79" s="5"/>
      <c r="FLC79" s="5"/>
      <c r="FLD79" s="5"/>
      <c r="FLE79" s="5"/>
      <c r="FLF79" s="5"/>
      <c r="FLG79" s="5"/>
      <c r="FLH79" s="5"/>
      <c r="FLI79" s="5"/>
      <c r="FLJ79" s="5"/>
      <c r="FLK79" s="5"/>
      <c r="FLL79" s="5"/>
      <c r="FLM79" s="5"/>
      <c r="FLN79" s="5"/>
      <c r="FLO79" s="5"/>
      <c r="FLP79" s="5"/>
      <c r="FLQ79" s="5"/>
      <c r="FLR79" s="5"/>
      <c r="FLS79" s="5"/>
      <c r="FLT79" s="5"/>
      <c r="FLU79" s="5"/>
      <c r="FLV79" s="5"/>
      <c r="FLW79" s="5"/>
      <c r="FLX79" s="5"/>
      <c r="FLY79" s="5"/>
      <c r="FLZ79" s="5"/>
      <c r="FMA79" s="5"/>
      <c r="FMB79" s="5"/>
      <c r="FMC79" s="5"/>
      <c r="FMD79" s="5"/>
      <c r="FME79" s="5"/>
      <c r="FMF79" s="5"/>
      <c r="FMG79" s="5"/>
      <c r="FMH79" s="5"/>
      <c r="FMI79" s="5"/>
      <c r="FMJ79" s="5"/>
      <c r="FMK79" s="5"/>
      <c r="FML79" s="5"/>
      <c r="FMM79" s="5"/>
      <c r="FMN79" s="5"/>
      <c r="FMO79" s="5"/>
      <c r="FMP79" s="5"/>
      <c r="FMQ79" s="5"/>
      <c r="FMR79" s="5"/>
      <c r="FMS79" s="5"/>
      <c r="FMT79" s="5"/>
      <c r="FMU79" s="5"/>
      <c r="FMV79" s="5"/>
      <c r="FMW79" s="5"/>
      <c r="FMX79" s="5"/>
      <c r="FMY79" s="5"/>
      <c r="FMZ79" s="5"/>
      <c r="FNA79" s="5"/>
      <c r="FNB79" s="5"/>
      <c r="FNC79" s="5"/>
      <c r="FND79" s="5"/>
      <c r="FNE79" s="5"/>
      <c r="FNF79" s="5"/>
      <c r="FNG79" s="5"/>
      <c r="FNH79" s="5"/>
      <c r="FNI79" s="5"/>
      <c r="FNJ79" s="5"/>
      <c r="FNK79" s="5"/>
      <c r="FNL79" s="5"/>
      <c r="FNM79" s="5"/>
      <c r="FNN79" s="5"/>
      <c r="FNO79" s="5"/>
      <c r="FNP79" s="5"/>
      <c r="FNQ79" s="5"/>
      <c r="FNR79" s="5"/>
      <c r="FNS79" s="5"/>
      <c r="FNT79" s="5"/>
      <c r="FNU79" s="5"/>
      <c r="FNV79" s="5"/>
      <c r="FNW79" s="5"/>
      <c r="FNX79" s="5"/>
      <c r="FNY79" s="5"/>
      <c r="FNZ79" s="5"/>
      <c r="FOA79" s="5"/>
      <c r="FOB79" s="5"/>
      <c r="FOC79" s="5"/>
      <c r="FOD79" s="5"/>
      <c r="FOE79" s="5"/>
      <c r="FOF79" s="5"/>
      <c r="FOG79" s="5"/>
      <c r="FOH79" s="5"/>
      <c r="FOI79" s="5"/>
      <c r="FOJ79" s="5"/>
      <c r="FOK79" s="5"/>
      <c r="FOL79" s="5"/>
      <c r="FOM79" s="5"/>
      <c r="FON79" s="5"/>
      <c r="FOO79" s="5"/>
      <c r="FOP79" s="5"/>
      <c r="FOQ79" s="5"/>
      <c r="FOR79" s="5"/>
      <c r="FOS79" s="5"/>
      <c r="FOT79" s="5"/>
      <c r="FOU79" s="5"/>
      <c r="FOV79" s="5"/>
      <c r="FOW79" s="5"/>
      <c r="FOX79" s="5"/>
      <c r="FOY79" s="5"/>
      <c r="FOZ79" s="5"/>
      <c r="FPA79" s="5"/>
      <c r="FPB79" s="5"/>
      <c r="FPC79" s="5"/>
      <c r="FPD79" s="5"/>
      <c r="FPE79" s="5"/>
      <c r="FPF79" s="5"/>
      <c r="FPG79" s="5"/>
      <c r="FPH79" s="5"/>
      <c r="FPI79" s="5"/>
      <c r="FPJ79" s="5"/>
      <c r="FPK79" s="5"/>
      <c r="FPL79" s="5"/>
      <c r="FPM79" s="5"/>
      <c r="FPN79" s="5"/>
      <c r="FPO79" s="5"/>
      <c r="FPP79" s="5"/>
      <c r="FPQ79" s="5"/>
      <c r="FPR79" s="5"/>
      <c r="FPS79" s="5"/>
      <c r="FPT79" s="5"/>
      <c r="FPU79" s="5"/>
      <c r="FPV79" s="5"/>
      <c r="FPW79" s="5"/>
      <c r="FPX79" s="5"/>
      <c r="FPY79" s="5"/>
      <c r="FPZ79" s="5"/>
      <c r="FQA79" s="5"/>
      <c r="FQB79" s="5"/>
      <c r="FQC79" s="5"/>
      <c r="FQD79" s="5"/>
      <c r="FQE79" s="5"/>
      <c r="FQF79" s="5"/>
      <c r="FQG79" s="5"/>
      <c r="FQH79" s="5"/>
      <c r="FQI79" s="5"/>
      <c r="FQJ79" s="5"/>
      <c r="FQK79" s="5"/>
      <c r="FQL79" s="5"/>
      <c r="FQM79" s="5"/>
      <c r="FQN79" s="5"/>
      <c r="FQO79" s="5"/>
      <c r="FQP79" s="5"/>
      <c r="FQQ79" s="5"/>
      <c r="FQR79" s="5"/>
      <c r="FQS79" s="5"/>
      <c r="FQT79" s="5"/>
      <c r="FQU79" s="5"/>
      <c r="FQV79" s="5"/>
      <c r="FQW79" s="5"/>
      <c r="FQX79" s="5"/>
      <c r="FQY79" s="5"/>
      <c r="FQZ79" s="5"/>
      <c r="FRA79" s="5"/>
      <c r="FRB79" s="5"/>
      <c r="FRC79" s="5"/>
      <c r="FRD79" s="5"/>
      <c r="FRE79" s="5"/>
      <c r="FRF79" s="5"/>
      <c r="FRG79" s="5"/>
      <c r="FRH79" s="5"/>
      <c r="FRI79" s="5"/>
      <c r="FRJ79" s="5"/>
      <c r="FRK79" s="5"/>
      <c r="FRL79" s="5"/>
      <c r="FRM79" s="5"/>
      <c r="FRN79" s="5"/>
      <c r="FRO79" s="5"/>
      <c r="FRP79" s="5"/>
      <c r="FRQ79" s="5"/>
      <c r="FRR79" s="5"/>
      <c r="FRS79" s="5"/>
      <c r="FRT79" s="5"/>
      <c r="FRU79" s="5"/>
      <c r="FRV79" s="5"/>
      <c r="FRW79" s="5"/>
      <c r="FRX79" s="5"/>
      <c r="FRY79" s="5"/>
      <c r="FRZ79" s="5"/>
      <c r="FSA79" s="5"/>
      <c r="FSB79" s="5"/>
      <c r="FSC79" s="5"/>
      <c r="FSD79" s="5"/>
      <c r="FSE79" s="5"/>
      <c r="FSF79" s="5"/>
      <c r="FSG79" s="5"/>
      <c r="FSH79" s="5"/>
      <c r="FSI79" s="5"/>
      <c r="FSJ79" s="5"/>
      <c r="FSK79" s="5"/>
      <c r="FSL79" s="5"/>
      <c r="FSM79" s="5"/>
      <c r="FSN79" s="5"/>
      <c r="FSO79" s="5"/>
      <c r="FSP79" s="5"/>
      <c r="FSQ79" s="5"/>
      <c r="FSR79" s="5"/>
      <c r="FSS79" s="5"/>
      <c r="FST79" s="5"/>
      <c r="FSU79" s="5"/>
      <c r="FSV79" s="5"/>
      <c r="FSW79" s="5"/>
      <c r="FSX79" s="5"/>
      <c r="FSY79" s="5"/>
      <c r="FSZ79" s="5"/>
      <c r="FTA79" s="5"/>
      <c r="FTB79" s="5"/>
      <c r="FTC79" s="5"/>
      <c r="FTD79" s="5"/>
      <c r="FTE79" s="5"/>
      <c r="FTF79" s="5"/>
      <c r="FTG79" s="5"/>
      <c r="FTH79" s="5"/>
      <c r="FTI79" s="5"/>
      <c r="FTJ79" s="5"/>
      <c r="FTK79" s="5"/>
      <c r="FTL79" s="5"/>
      <c r="FTM79" s="5"/>
      <c r="FTN79" s="5"/>
      <c r="FTO79" s="5"/>
      <c r="FTP79" s="5"/>
      <c r="FTQ79" s="5"/>
      <c r="FTR79" s="5"/>
      <c r="FTS79" s="5"/>
      <c r="FTT79" s="5"/>
      <c r="FTU79" s="5"/>
      <c r="FTV79" s="5"/>
      <c r="FTW79" s="5"/>
      <c r="FTX79" s="5"/>
      <c r="FTY79" s="5"/>
      <c r="FTZ79" s="5"/>
      <c r="FUA79" s="5"/>
      <c r="FUB79" s="5"/>
      <c r="FUC79" s="5"/>
      <c r="FUD79" s="5"/>
      <c r="FUE79" s="5"/>
      <c r="FUF79" s="5"/>
      <c r="FUG79" s="5"/>
      <c r="FUH79" s="5"/>
      <c r="FUI79" s="5"/>
      <c r="FUJ79" s="5"/>
      <c r="FUK79" s="5"/>
      <c r="FUL79" s="5"/>
      <c r="FUM79" s="5"/>
      <c r="FUN79" s="5"/>
      <c r="FUO79" s="5"/>
      <c r="FUP79" s="5"/>
      <c r="FUQ79" s="5"/>
      <c r="FUR79" s="5"/>
      <c r="FUS79" s="5"/>
      <c r="FUT79" s="5"/>
      <c r="FUU79" s="5"/>
      <c r="FUV79" s="5"/>
      <c r="FUW79" s="5"/>
      <c r="FUX79" s="5"/>
      <c r="FUY79" s="5"/>
      <c r="FUZ79" s="5"/>
      <c r="FVA79" s="5"/>
      <c r="FVB79" s="5"/>
      <c r="FVC79" s="5"/>
      <c r="FVD79" s="5"/>
      <c r="FVE79" s="5"/>
      <c r="FVF79" s="5"/>
      <c r="FVG79" s="5"/>
      <c r="FVH79" s="5"/>
      <c r="FVI79" s="5"/>
      <c r="FVJ79" s="5"/>
      <c r="FVK79" s="5"/>
      <c r="FVL79" s="5"/>
      <c r="FVM79" s="5"/>
      <c r="FVN79" s="5"/>
      <c r="FVO79" s="5"/>
      <c r="FVP79" s="5"/>
      <c r="FVQ79" s="5"/>
      <c r="FVR79" s="5"/>
      <c r="FVS79" s="5"/>
      <c r="FVT79" s="5"/>
      <c r="FVU79" s="5"/>
      <c r="FVV79" s="5"/>
      <c r="FVW79" s="5"/>
      <c r="FVX79" s="5"/>
      <c r="FVY79" s="5"/>
      <c r="FVZ79" s="5"/>
      <c r="FWA79" s="5"/>
      <c r="FWB79" s="5"/>
      <c r="FWC79" s="5"/>
      <c r="FWD79" s="5"/>
      <c r="FWE79" s="5"/>
      <c r="FWF79" s="5"/>
      <c r="FWG79" s="5"/>
      <c r="FWH79" s="5"/>
      <c r="FWI79" s="5"/>
      <c r="FWJ79" s="5"/>
      <c r="FWK79" s="5"/>
      <c r="FWL79" s="5"/>
      <c r="FWM79" s="5"/>
      <c r="FWN79" s="5"/>
      <c r="FWO79" s="5"/>
      <c r="FWP79" s="5"/>
      <c r="FWQ79" s="5"/>
      <c r="FWR79" s="5"/>
      <c r="FWS79" s="5"/>
      <c r="FWT79" s="5"/>
      <c r="FWU79" s="5"/>
      <c r="FWV79" s="5"/>
      <c r="FWW79" s="5"/>
      <c r="FWX79" s="5"/>
      <c r="FWY79" s="5"/>
      <c r="FWZ79" s="5"/>
      <c r="FXA79" s="5"/>
      <c r="FXB79" s="5"/>
      <c r="FXC79" s="5"/>
      <c r="FXD79" s="5"/>
      <c r="FXE79" s="5"/>
      <c r="FXF79" s="5"/>
      <c r="FXG79" s="5"/>
      <c r="FXH79" s="5"/>
      <c r="FXI79" s="5"/>
      <c r="FXJ79" s="5"/>
      <c r="FXK79" s="5"/>
      <c r="FXL79" s="5"/>
      <c r="FXM79" s="5"/>
      <c r="FXN79" s="5"/>
      <c r="FXO79" s="5"/>
      <c r="FXP79" s="5"/>
      <c r="FXQ79" s="5"/>
      <c r="FXR79" s="5"/>
      <c r="FXS79" s="5"/>
      <c r="FXT79" s="5"/>
      <c r="FXU79" s="5"/>
      <c r="FXV79" s="5"/>
      <c r="FXW79" s="5"/>
      <c r="FXX79" s="5"/>
      <c r="FXY79" s="5"/>
      <c r="FXZ79" s="5"/>
      <c r="FYA79" s="5"/>
      <c r="FYB79" s="5"/>
      <c r="FYC79" s="5"/>
      <c r="FYD79" s="5"/>
      <c r="FYE79" s="5"/>
      <c r="FYF79" s="5"/>
      <c r="FYG79" s="5"/>
      <c r="FYH79" s="5"/>
      <c r="FYI79" s="5"/>
      <c r="FYJ79" s="5"/>
      <c r="FYK79" s="5"/>
      <c r="FYL79" s="5"/>
      <c r="FYM79" s="5"/>
      <c r="FYN79" s="5"/>
      <c r="FYO79" s="5"/>
      <c r="FYP79" s="5"/>
      <c r="FYQ79" s="5"/>
      <c r="FYR79" s="5"/>
      <c r="FYS79" s="5"/>
      <c r="FYT79" s="5"/>
      <c r="FYU79" s="5"/>
      <c r="FYV79" s="5"/>
      <c r="FYW79" s="5"/>
      <c r="FYX79" s="5"/>
      <c r="FYY79" s="5"/>
      <c r="FYZ79" s="5"/>
      <c r="FZA79" s="5"/>
      <c r="FZB79" s="5"/>
      <c r="FZC79" s="5"/>
      <c r="FZD79" s="5"/>
      <c r="FZE79" s="5"/>
      <c r="FZF79" s="5"/>
      <c r="FZG79" s="5"/>
      <c r="FZH79" s="5"/>
      <c r="FZI79" s="5"/>
      <c r="FZJ79" s="5"/>
      <c r="FZK79" s="5"/>
      <c r="FZL79" s="5"/>
      <c r="FZM79" s="5"/>
      <c r="FZN79" s="5"/>
      <c r="FZO79" s="5"/>
      <c r="FZP79" s="5"/>
      <c r="FZQ79" s="5"/>
      <c r="FZR79" s="5"/>
      <c r="FZS79" s="5"/>
      <c r="FZT79" s="5"/>
      <c r="FZU79" s="5"/>
      <c r="FZV79" s="5"/>
      <c r="FZW79" s="5"/>
      <c r="FZX79" s="5"/>
      <c r="FZY79" s="5"/>
      <c r="FZZ79" s="5"/>
      <c r="GAA79" s="5"/>
      <c r="GAB79" s="5"/>
      <c r="GAC79" s="5"/>
      <c r="GAD79" s="5"/>
      <c r="GAE79" s="5"/>
      <c r="GAF79" s="5"/>
      <c r="GAG79" s="5"/>
      <c r="GAH79" s="5"/>
      <c r="GAI79" s="5"/>
      <c r="GAJ79" s="5"/>
      <c r="GAK79" s="5"/>
      <c r="GAL79" s="5"/>
      <c r="GAM79" s="5"/>
      <c r="GAN79" s="5"/>
      <c r="GAO79" s="5"/>
      <c r="GAP79" s="5"/>
      <c r="GAQ79" s="5"/>
      <c r="GAR79" s="5"/>
      <c r="GAS79" s="5"/>
      <c r="GAT79" s="5"/>
      <c r="GAU79" s="5"/>
      <c r="GAV79" s="5"/>
      <c r="GAW79" s="5"/>
      <c r="GAX79" s="5"/>
      <c r="GAY79" s="5"/>
      <c r="GAZ79" s="5"/>
      <c r="GBA79" s="5"/>
      <c r="GBB79" s="5"/>
      <c r="GBC79" s="5"/>
      <c r="GBD79" s="5"/>
      <c r="GBE79" s="5"/>
      <c r="GBF79" s="5"/>
      <c r="GBG79" s="5"/>
      <c r="GBH79" s="5"/>
      <c r="GBI79" s="5"/>
      <c r="GBJ79" s="5"/>
      <c r="GBK79" s="5"/>
      <c r="GBL79" s="5"/>
      <c r="GBM79" s="5"/>
      <c r="GBN79" s="5"/>
      <c r="GBO79" s="5"/>
      <c r="GBP79" s="5"/>
      <c r="GBQ79" s="5"/>
      <c r="GBR79" s="5"/>
      <c r="GBS79" s="5"/>
      <c r="GBT79" s="5"/>
      <c r="GBU79" s="5"/>
      <c r="GBV79" s="5"/>
      <c r="GBW79" s="5"/>
      <c r="GBX79" s="5"/>
      <c r="GBY79" s="5"/>
      <c r="GBZ79" s="5"/>
      <c r="GCA79" s="5"/>
      <c r="GCB79" s="5"/>
      <c r="GCC79" s="5"/>
      <c r="GCD79" s="5"/>
      <c r="GCE79" s="5"/>
      <c r="GCF79" s="5"/>
      <c r="GCG79" s="5"/>
      <c r="GCH79" s="5"/>
      <c r="GCI79" s="5"/>
      <c r="GCJ79" s="5"/>
      <c r="GCK79" s="5"/>
      <c r="GCL79" s="5"/>
      <c r="GCM79" s="5"/>
      <c r="GCN79" s="5"/>
      <c r="GCO79" s="5"/>
      <c r="GCP79" s="5"/>
      <c r="GCQ79" s="5"/>
      <c r="GCR79" s="5"/>
      <c r="GCS79" s="5"/>
      <c r="GCT79" s="5"/>
      <c r="GCU79" s="5"/>
      <c r="GCV79" s="5"/>
      <c r="GCW79" s="5"/>
      <c r="GCX79" s="5"/>
      <c r="GCY79" s="5"/>
      <c r="GCZ79" s="5"/>
      <c r="GDA79" s="5"/>
      <c r="GDB79" s="5"/>
      <c r="GDC79" s="5"/>
      <c r="GDD79" s="5"/>
      <c r="GDE79" s="5"/>
      <c r="GDF79" s="5"/>
      <c r="GDG79" s="5"/>
      <c r="GDH79" s="5"/>
      <c r="GDI79" s="5"/>
      <c r="GDJ79" s="5"/>
      <c r="GDK79" s="5"/>
      <c r="GDL79" s="5"/>
      <c r="GDM79" s="5"/>
      <c r="GDN79" s="5"/>
      <c r="GDO79" s="5"/>
      <c r="GDP79" s="5"/>
      <c r="GDQ79" s="5"/>
      <c r="GDR79" s="5"/>
      <c r="GDS79" s="5"/>
      <c r="GDT79" s="5"/>
      <c r="GDU79" s="5"/>
      <c r="GDV79" s="5"/>
      <c r="GDW79" s="5"/>
      <c r="GDX79" s="5"/>
      <c r="GDY79" s="5"/>
      <c r="GDZ79" s="5"/>
      <c r="GEA79" s="5"/>
      <c r="GEB79" s="5"/>
      <c r="GEC79" s="5"/>
      <c r="GED79" s="5"/>
      <c r="GEE79" s="5"/>
      <c r="GEF79" s="5"/>
      <c r="GEG79" s="5"/>
      <c r="GEH79" s="5"/>
      <c r="GEI79" s="5"/>
      <c r="GEJ79" s="5"/>
      <c r="GEK79" s="5"/>
      <c r="GEL79" s="5"/>
      <c r="GEM79" s="5"/>
      <c r="GEN79" s="5"/>
      <c r="GEO79" s="5"/>
      <c r="GEP79" s="5"/>
      <c r="GEQ79" s="5"/>
      <c r="GER79" s="5"/>
      <c r="GES79" s="5"/>
      <c r="GET79" s="5"/>
      <c r="GEU79" s="5"/>
      <c r="GEV79" s="5"/>
      <c r="GEW79" s="5"/>
      <c r="GEX79" s="5"/>
      <c r="GEY79" s="5"/>
      <c r="GEZ79" s="5"/>
      <c r="GFA79" s="5"/>
      <c r="GFB79" s="5"/>
      <c r="GFC79" s="5"/>
      <c r="GFD79" s="5"/>
      <c r="GFE79" s="5"/>
      <c r="GFF79" s="5"/>
      <c r="GFG79" s="5"/>
      <c r="GFH79" s="5"/>
      <c r="GFI79" s="5"/>
      <c r="GFJ79" s="5"/>
      <c r="GFK79" s="5"/>
      <c r="GFL79" s="5"/>
      <c r="GFM79" s="5"/>
      <c r="GFN79" s="5"/>
      <c r="GFO79" s="5"/>
      <c r="GFP79" s="5"/>
      <c r="GFQ79" s="5"/>
      <c r="GFR79" s="5"/>
      <c r="GFS79" s="5"/>
      <c r="GFT79" s="5"/>
      <c r="GFU79" s="5"/>
      <c r="GFV79" s="5"/>
      <c r="GFW79" s="5"/>
      <c r="GFX79" s="5"/>
      <c r="GFY79" s="5"/>
      <c r="GFZ79" s="5"/>
      <c r="GGA79" s="5"/>
      <c r="GGB79" s="5"/>
      <c r="GGC79" s="5"/>
      <c r="GGD79" s="5"/>
      <c r="GGE79" s="5"/>
      <c r="GGF79" s="5"/>
      <c r="GGG79" s="5"/>
      <c r="GGH79" s="5"/>
      <c r="GGI79" s="5"/>
      <c r="GGJ79" s="5"/>
      <c r="GGK79" s="5"/>
      <c r="GGL79" s="5"/>
      <c r="GGM79" s="5"/>
      <c r="GGN79" s="5"/>
      <c r="GGO79" s="5"/>
      <c r="GGP79" s="5"/>
      <c r="GGQ79" s="5"/>
      <c r="GGR79" s="5"/>
      <c r="GGS79" s="5"/>
      <c r="GGT79" s="5"/>
      <c r="GGU79" s="5"/>
      <c r="GGV79" s="5"/>
      <c r="GGW79" s="5"/>
      <c r="GGX79" s="5"/>
      <c r="GGY79" s="5"/>
      <c r="GGZ79" s="5"/>
      <c r="GHA79" s="5"/>
      <c r="GHB79" s="5"/>
      <c r="GHC79" s="5"/>
      <c r="GHD79" s="5"/>
      <c r="GHE79" s="5"/>
      <c r="GHF79" s="5"/>
      <c r="GHG79" s="5"/>
      <c r="GHH79" s="5"/>
      <c r="GHI79" s="5"/>
      <c r="GHJ79" s="5"/>
      <c r="GHK79" s="5"/>
      <c r="GHL79" s="5"/>
      <c r="GHM79" s="5"/>
      <c r="GHN79" s="5"/>
      <c r="GHO79" s="5"/>
      <c r="GHP79" s="5"/>
      <c r="GHQ79" s="5"/>
      <c r="GHR79" s="5"/>
      <c r="GHS79" s="5"/>
      <c r="GHT79" s="5"/>
      <c r="GHU79" s="5"/>
      <c r="GHV79" s="5"/>
      <c r="GHW79" s="5"/>
      <c r="GHX79" s="5"/>
      <c r="GHY79" s="5"/>
      <c r="GHZ79" s="5"/>
      <c r="GIA79" s="5"/>
      <c r="GIB79" s="5"/>
      <c r="GIC79" s="5"/>
      <c r="GID79" s="5"/>
      <c r="GIE79" s="5"/>
      <c r="GIF79" s="5"/>
      <c r="GIG79" s="5"/>
      <c r="GIH79" s="5"/>
      <c r="GII79" s="5"/>
      <c r="GIJ79" s="5"/>
      <c r="GIK79" s="5"/>
      <c r="GIL79" s="5"/>
      <c r="GIM79" s="5"/>
      <c r="GIN79" s="5"/>
      <c r="GIO79" s="5"/>
      <c r="GIP79" s="5"/>
      <c r="GIQ79" s="5"/>
      <c r="GIR79" s="5"/>
      <c r="GIS79" s="5"/>
      <c r="GIT79" s="5"/>
      <c r="GIU79" s="5"/>
      <c r="GIV79" s="5"/>
      <c r="GIW79" s="5"/>
      <c r="GIX79" s="5"/>
      <c r="GIY79" s="5"/>
      <c r="GIZ79" s="5"/>
      <c r="GJA79" s="5"/>
      <c r="GJB79" s="5"/>
      <c r="GJC79" s="5"/>
      <c r="GJD79" s="5"/>
      <c r="GJE79" s="5"/>
      <c r="GJF79" s="5"/>
      <c r="GJG79" s="5"/>
      <c r="GJH79" s="5"/>
      <c r="GJI79" s="5"/>
      <c r="GJJ79" s="5"/>
      <c r="GJK79" s="5"/>
      <c r="GJL79" s="5"/>
      <c r="GJM79" s="5"/>
      <c r="GJN79" s="5"/>
      <c r="GJO79" s="5"/>
      <c r="GJP79" s="5"/>
      <c r="GJQ79" s="5"/>
      <c r="GJR79" s="5"/>
      <c r="GJS79" s="5"/>
      <c r="GJT79" s="5"/>
      <c r="GJU79" s="5"/>
      <c r="GJV79" s="5"/>
      <c r="GJW79" s="5"/>
      <c r="GJX79" s="5"/>
      <c r="GJY79" s="5"/>
      <c r="GJZ79" s="5"/>
      <c r="GKA79" s="5"/>
      <c r="GKB79" s="5"/>
      <c r="GKC79" s="5"/>
      <c r="GKD79" s="5"/>
      <c r="GKE79" s="5"/>
      <c r="GKF79" s="5"/>
      <c r="GKG79" s="5"/>
      <c r="GKH79" s="5"/>
      <c r="GKI79" s="5"/>
      <c r="GKJ79" s="5"/>
      <c r="GKK79" s="5"/>
      <c r="GKL79" s="5"/>
      <c r="GKM79" s="5"/>
      <c r="GKN79" s="5"/>
      <c r="GKO79" s="5"/>
      <c r="GKP79" s="5"/>
      <c r="GKQ79" s="5"/>
      <c r="GKR79" s="5"/>
      <c r="GKS79" s="5"/>
      <c r="GKT79" s="5"/>
      <c r="GKU79" s="5"/>
      <c r="GKV79" s="5"/>
      <c r="GKW79" s="5"/>
      <c r="GKX79" s="5"/>
      <c r="GKY79" s="5"/>
      <c r="GKZ79" s="5"/>
      <c r="GLA79" s="5"/>
      <c r="GLB79" s="5"/>
      <c r="GLC79" s="5"/>
      <c r="GLD79" s="5"/>
      <c r="GLE79" s="5"/>
      <c r="GLF79" s="5"/>
      <c r="GLG79" s="5"/>
      <c r="GLH79" s="5"/>
      <c r="GLI79" s="5"/>
      <c r="GLJ79" s="5"/>
      <c r="GLK79" s="5"/>
      <c r="GLL79" s="5"/>
      <c r="GLM79" s="5"/>
      <c r="GLN79" s="5"/>
      <c r="GLO79" s="5"/>
      <c r="GLP79" s="5"/>
      <c r="GLQ79" s="5"/>
      <c r="GLR79" s="5"/>
      <c r="GLS79" s="5"/>
      <c r="GLT79" s="5"/>
      <c r="GLU79" s="5"/>
      <c r="GLV79" s="5"/>
      <c r="GLW79" s="5"/>
      <c r="GLX79" s="5"/>
      <c r="GLY79" s="5"/>
      <c r="GLZ79" s="5"/>
      <c r="GMA79" s="5"/>
      <c r="GMB79" s="5"/>
      <c r="GMC79" s="5"/>
      <c r="GMD79" s="5"/>
      <c r="GME79" s="5"/>
      <c r="GMF79" s="5"/>
      <c r="GMG79" s="5"/>
      <c r="GMH79" s="5"/>
      <c r="GMI79" s="5"/>
      <c r="GMJ79" s="5"/>
      <c r="GMK79" s="5"/>
      <c r="GML79" s="5"/>
      <c r="GMM79" s="5"/>
      <c r="GMN79" s="5"/>
      <c r="GMO79" s="5"/>
      <c r="GMP79" s="5"/>
      <c r="GMQ79" s="5"/>
      <c r="GMR79" s="5"/>
      <c r="GMS79" s="5"/>
      <c r="GMT79" s="5"/>
      <c r="GMU79" s="5"/>
      <c r="GMV79" s="5"/>
      <c r="GMW79" s="5"/>
      <c r="GMX79" s="5"/>
      <c r="GMY79" s="5"/>
      <c r="GMZ79" s="5"/>
      <c r="GNA79" s="5"/>
      <c r="GNB79" s="5"/>
      <c r="GNC79" s="5"/>
      <c r="GND79" s="5"/>
      <c r="GNE79" s="5"/>
      <c r="GNF79" s="5"/>
      <c r="GNG79" s="5"/>
      <c r="GNH79" s="5"/>
      <c r="GNI79" s="5"/>
      <c r="GNJ79" s="5"/>
      <c r="GNK79" s="5"/>
      <c r="GNL79" s="5"/>
      <c r="GNM79" s="5"/>
      <c r="GNN79" s="5"/>
      <c r="GNO79" s="5"/>
      <c r="GNP79" s="5"/>
      <c r="GNQ79" s="5"/>
      <c r="GNR79" s="5"/>
      <c r="GNS79" s="5"/>
      <c r="GNT79" s="5"/>
      <c r="GNU79" s="5"/>
      <c r="GNV79" s="5"/>
      <c r="GNW79" s="5"/>
      <c r="GNX79" s="5"/>
      <c r="GNY79" s="5"/>
      <c r="GNZ79" s="5"/>
      <c r="GOA79" s="5"/>
      <c r="GOB79" s="5"/>
      <c r="GOC79" s="5"/>
      <c r="GOD79" s="5"/>
      <c r="GOE79" s="5"/>
      <c r="GOF79" s="5"/>
      <c r="GOG79" s="5"/>
      <c r="GOH79" s="5"/>
      <c r="GOI79" s="5"/>
      <c r="GOJ79" s="5"/>
      <c r="GOK79" s="5"/>
      <c r="GOL79" s="5"/>
      <c r="GOM79" s="5"/>
      <c r="GON79" s="5"/>
      <c r="GOO79" s="5"/>
      <c r="GOP79" s="5"/>
      <c r="GOQ79" s="5"/>
      <c r="GOR79" s="5"/>
      <c r="GOS79" s="5"/>
      <c r="GOT79" s="5"/>
      <c r="GOU79" s="5"/>
      <c r="GOV79" s="5"/>
      <c r="GOW79" s="5"/>
      <c r="GOX79" s="5"/>
      <c r="GOY79" s="5"/>
      <c r="GOZ79" s="5"/>
      <c r="GPA79" s="5"/>
      <c r="GPB79" s="5"/>
      <c r="GPC79" s="5"/>
      <c r="GPD79" s="5"/>
      <c r="GPE79" s="5"/>
      <c r="GPF79" s="5"/>
      <c r="GPG79" s="5"/>
      <c r="GPH79" s="5"/>
      <c r="GPI79" s="5"/>
      <c r="GPJ79" s="5"/>
      <c r="GPK79" s="5"/>
      <c r="GPL79" s="5"/>
      <c r="GPM79" s="5"/>
      <c r="GPN79" s="5"/>
      <c r="GPO79" s="5"/>
      <c r="GPP79" s="5"/>
      <c r="GPQ79" s="5"/>
      <c r="GPR79" s="5"/>
      <c r="GPS79" s="5"/>
      <c r="GPT79" s="5"/>
      <c r="GPU79" s="5"/>
      <c r="GPV79" s="5"/>
      <c r="GPW79" s="5"/>
      <c r="GPX79" s="5"/>
      <c r="GPY79" s="5"/>
      <c r="GPZ79" s="5"/>
      <c r="GQA79" s="5"/>
      <c r="GQB79" s="5"/>
      <c r="GQC79" s="5"/>
      <c r="GQD79" s="5"/>
      <c r="GQE79" s="5"/>
      <c r="GQF79" s="5"/>
      <c r="GQG79" s="5"/>
      <c r="GQH79" s="5"/>
      <c r="GQI79" s="5"/>
      <c r="GQJ79" s="5"/>
      <c r="GQK79" s="5"/>
      <c r="GQL79" s="5"/>
      <c r="GQM79" s="5"/>
      <c r="GQN79" s="5"/>
      <c r="GQO79" s="5"/>
      <c r="GQP79" s="5"/>
      <c r="GQQ79" s="5"/>
      <c r="GQR79" s="5"/>
      <c r="GQS79" s="5"/>
      <c r="GQT79" s="5"/>
      <c r="GQU79" s="5"/>
      <c r="GQV79" s="5"/>
      <c r="GQW79" s="5"/>
      <c r="GQX79" s="5"/>
      <c r="GQY79" s="5"/>
      <c r="GQZ79" s="5"/>
      <c r="GRA79" s="5"/>
      <c r="GRB79" s="5"/>
      <c r="GRC79" s="5"/>
      <c r="GRD79" s="5"/>
      <c r="GRE79" s="5"/>
      <c r="GRF79" s="5"/>
      <c r="GRG79" s="5"/>
      <c r="GRH79" s="5"/>
      <c r="GRI79" s="5"/>
      <c r="GRJ79" s="5"/>
      <c r="GRK79" s="5"/>
      <c r="GRL79" s="5"/>
      <c r="GRM79" s="5"/>
      <c r="GRN79" s="5"/>
      <c r="GRO79" s="5"/>
      <c r="GRP79" s="5"/>
      <c r="GRQ79" s="5"/>
      <c r="GRR79" s="5"/>
      <c r="GRS79" s="5"/>
      <c r="GRT79" s="5"/>
      <c r="GRU79" s="5"/>
      <c r="GRV79" s="5"/>
      <c r="GRW79" s="5"/>
      <c r="GRX79" s="5"/>
      <c r="GRY79" s="5"/>
      <c r="GRZ79" s="5"/>
      <c r="GSA79" s="5"/>
      <c r="GSB79" s="5"/>
      <c r="GSC79" s="5"/>
      <c r="GSD79" s="5"/>
      <c r="GSE79" s="5"/>
      <c r="GSF79" s="5"/>
      <c r="GSG79" s="5"/>
      <c r="GSH79" s="5"/>
      <c r="GSI79" s="5"/>
      <c r="GSJ79" s="5"/>
      <c r="GSK79" s="5"/>
      <c r="GSL79" s="5"/>
      <c r="GSM79" s="5"/>
      <c r="GSN79" s="5"/>
      <c r="GSO79" s="5"/>
      <c r="GSP79" s="5"/>
      <c r="GSQ79" s="5"/>
      <c r="GSR79" s="5"/>
      <c r="GSS79" s="5"/>
      <c r="GST79" s="5"/>
      <c r="GSU79" s="5"/>
      <c r="GSV79" s="5"/>
      <c r="GSW79" s="5"/>
      <c r="GSX79" s="5"/>
      <c r="GSY79" s="5"/>
      <c r="GSZ79" s="5"/>
      <c r="GTA79" s="5"/>
      <c r="GTB79" s="5"/>
      <c r="GTC79" s="5"/>
      <c r="GTD79" s="5"/>
      <c r="GTE79" s="5"/>
      <c r="GTF79" s="5"/>
      <c r="GTG79" s="5"/>
      <c r="GTH79" s="5"/>
      <c r="GTI79" s="5"/>
      <c r="GTJ79" s="5"/>
      <c r="GTK79" s="5"/>
      <c r="GTL79" s="5"/>
      <c r="GTM79" s="5"/>
      <c r="GTN79" s="5"/>
      <c r="GTO79" s="5"/>
      <c r="GTP79" s="5"/>
      <c r="GTQ79" s="5"/>
      <c r="GTR79" s="5"/>
      <c r="GTS79" s="5"/>
      <c r="GTT79" s="5"/>
      <c r="GTU79" s="5"/>
      <c r="GTV79" s="5"/>
      <c r="GTW79" s="5"/>
      <c r="GTX79" s="5"/>
      <c r="GTY79" s="5"/>
      <c r="GTZ79" s="5"/>
      <c r="GUA79" s="5"/>
      <c r="GUB79" s="5"/>
      <c r="GUC79" s="5"/>
      <c r="GUD79" s="5"/>
      <c r="GUE79" s="5"/>
      <c r="GUF79" s="5"/>
      <c r="GUG79" s="5"/>
      <c r="GUH79" s="5"/>
      <c r="GUI79" s="5"/>
      <c r="GUJ79" s="5"/>
      <c r="GUK79" s="5"/>
      <c r="GUL79" s="5"/>
      <c r="GUM79" s="5"/>
      <c r="GUN79" s="5"/>
      <c r="GUO79" s="5"/>
      <c r="GUP79" s="5"/>
      <c r="GUQ79" s="5"/>
      <c r="GUR79" s="5"/>
      <c r="GUS79" s="5"/>
      <c r="GUT79" s="5"/>
      <c r="GUU79" s="5"/>
      <c r="GUV79" s="5"/>
      <c r="GUW79" s="5"/>
      <c r="GUX79" s="5"/>
      <c r="GUY79" s="5"/>
      <c r="GUZ79" s="5"/>
      <c r="GVA79" s="5"/>
      <c r="GVB79" s="5"/>
      <c r="GVC79" s="5"/>
      <c r="GVD79" s="5"/>
      <c r="GVE79" s="5"/>
      <c r="GVF79" s="5"/>
      <c r="GVG79" s="5"/>
      <c r="GVH79" s="5"/>
      <c r="GVI79" s="5"/>
      <c r="GVJ79" s="5"/>
      <c r="GVK79" s="5"/>
      <c r="GVL79" s="5"/>
      <c r="GVM79" s="5"/>
      <c r="GVN79" s="5"/>
      <c r="GVO79" s="5"/>
      <c r="GVP79" s="5"/>
      <c r="GVQ79" s="5"/>
      <c r="GVR79" s="5"/>
      <c r="GVS79" s="5"/>
      <c r="GVT79" s="5"/>
      <c r="GVU79" s="5"/>
      <c r="GVV79" s="5"/>
      <c r="GVW79" s="5"/>
      <c r="GVX79" s="5"/>
      <c r="GVY79" s="5"/>
      <c r="GVZ79" s="5"/>
      <c r="GWA79" s="5"/>
      <c r="GWB79" s="5"/>
      <c r="GWC79" s="5"/>
      <c r="GWD79" s="5"/>
      <c r="GWE79" s="5"/>
      <c r="GWF79" s="5"/>
      <c r="GWG79" s="5"/>
      <c r="GWH79" s="5"/>
      <c r="GWI79" s="5"/>
      <c r="GWJ79" s="5"/>
      <c r="GWK79" s="5"/>
      <c r="GWL79" s="5"/>
      <c r="GWM79" s="5"/>
      <c r="GWN79" s="5"/>
      <c r="GWO79" s="5"/>
      <c r="GWP79" s="5"/>
      <c r="GWQ79" s="5"/>
      <c r="GWR79" s="5"/>
      <c r="GWS79" s="5"/>
      <c r="GWT79" s="5"/>
      <c r="GWU79" s="5"/>
      <c r="GWV79" s="5"/>
      <c r="GWW79" s="5"/>
      <c r="GWX79" s="5"/>
      <c r="GWY79" s="5"/>
      <c r="GWZ79" s="5"/>
      <c r="GXA79" s="5"/>
      <c r="GXB79" s="5"/>
      <c r="GXC79" s="5"/>
      <c r="GXD79" s="5"/>
      <c r="GXE79" s="5"/>
      <c r="GXF79" s="5"/>
      <c r="GXG79" s="5"/>
      <c r="GXH79" s="5"/>
      <c r="GXI79" s="5"/>
      <c r="GXJ79" s="5"/>
      <c r="GXK79" s="5"/>
      <c r="GXL79" s="5"/>
      <c r="GXM79" s="5"/>
      <c r="GXN79" s="5"/>
      <c r="GXO79" s="5"/>
      <c r="GXP79" s="5"/>
      <c r="GXQ79" s="5"/>
      <c r="GXR79" s="5"/>
      <c r="GXS79" s="5"/>
      <c r="GXT79" s="5"/>
      <c r="GXU79" s="5"/>
      <c r="GXV79" s="5"/>
      <c r="GXW79" s="5"/>
      <c r="GXX79" s="5"/>
      <c r="GXY79" s="5"/>
      <c r="GXZ79" s="5"/>
      <c r="GYA79" s="5"/>
      <c r="GYB79" s="5"/>
      <c r="GYC79" s="5"/>
      <c r="GYD79" s="5"/>
      <c r="GYE79" s="5"/>
      <c r="GYF79" s="5"/>
      <c r="GYG79" s="5"/>
      <c r="GYH79" s="5"/>
      <c r="GYI79" s="5"/>
      <c r="GYJ79" s="5"/>
      <c r="GYK79" s="5"/>
      <c r="GYL79" s="5"/>
      <c r="GYM79" s="5"/>
      <c r="GYN79" s="5"/>
      <c r="GYO79" s="5"/>
      <c r="GYP79" s="5"/>
      <c r="GYQ79" s="5"/>
      <c r="GYR79" s="5"/>
      <c r="GYS79" s="5"/>
      <c r="GYT79" s="5"/>
      <c r="GYU79" s="5"/>
      <c r="GYV79" s="5"/>
      <c r="GYW79" s="5"/>
      <c r="GYX79" s="5"/>
      <c r="GYY79" s="5"/>
      <c r="GYZ79" s="5"/>
      <c r="GZA79" s="5"/>
      <c r="GZB79" s="5"/>
      <c r="GZC79" s="5"/>
      <c r="GZD79" s="5"/>
      <c r="GZE79" s="5"/>
      <c r="GZF79" s="5"/>
      <c r="GZG79" s="5"/>
      <c r="GZH79" s="5"/>
      <c r="GZI79" s="5"/>
      <c r="GZJ79" s="5"/>
      <c r="GZK79" s="5"/>
      <c r="GZL79" s="5"/>
      <c r="GZM79" s="5"/>
      <c r="GZN79" s="5"/>
      <c r="GZO79" s="5"/>
      <c r="GZP79" s="5"/>
      <c r="GZQ79" s="5"/>
      <c r="GZR79" s="5"/>
      <c r="GZS79" s="5"/>
      <c r="GZT79" s="5"/>
      <c r="GZU79" s="5"/>
      <c r="GZV79" s="5"/>
      <c r="GZW79" s="5"/>
      <c r="GZX79" s="5"/>
      <c r="GZY79" s="5"/>
      <c r="GZZ79" s="5"/>
      <c r="HAA79" s="5"/>
      <c r="HAB79" s="5"/>
      <c r="HAC79" s="5"/>
      <c r="HAD79" s="5"/>
      <c r="HAE79" s="5"/>
      <c r="HAF79" s="5"/>
      <c r="HAG79" s="5"/>
      <c r="HAH79" s="5"/>
      <c r="HAI79" s="5"/>
      <c r="HAJ79" s="5"/>
      <c r="HAK79" s="5"/>
      <c r="HAL79" s="5"/>
      <c r="HAM79" s="5"/>
      <c r="HAN79" s="5"/>
      <c r="HAO79" s="5"/>
      <c r="HAP79" s="5"/>
      <c r="HAQ79" s="5"/>
      <c r="HAR79" s="5"/>
      <c r="HAS79" s="5"/>
      <c r="HAT79" s="5"/>
      <c r="HAU79" s="5"/>
      <c r="HAV79" s="5"/>
      <c r="HAW79" s="5"/>
      <c r="HAX79" s="5"/>
      <c r="HAY79" s="5"/>
      <c r="HAZ79" s="5"/>
      <c r="HBA79" s="5"/>
      <c r="HBB79" s="5"/>
      <c r="HBC79" s="5"/>
      <c r="HBD79" s="5"/>
      <c r="HBE79" s="5"/>
      <c r="HBF79" s="5"/>
      <c r="HBG79" s="5"/>
      <c r="HBH79" s="5"/>
      <c r="HBI79" s="5"/>
      <c r="HBJ79" s="5"/>
      <c r="HBK79" s="5"/>
      <c r="HBL79" s="5"/>
      <c r="HBM79" s="5"/>
      <c r="HBN79" s="5"/>
      <c r="HBO79" s="5"/>
      <c r="HBP79" s="5"/>
      <c r="HBQ79" s="5"/>
      <c r="HBR79" s="5"/>
      <c r="HBS79" s="5"/>
      <c r="HBT79" s="5"/>
      <c r="HBU79" s="5"/>
      <c r="HBV79" s="5"/>
      <c r="HBW79" s="5"/>
      <c r="HBX79" s="5"/>
      <c r="HBY79" s="5"/>
      <c r="HBZ79" s="5"/>
      <c r="HCA79" s="5"/>
      <c r="HCB79" s="5"/>
      <c r="HCC79" s="5"/>
      <c r="HCD79" s="5"/>
      <c r="HCE79" s="5"/>
      <c r="HCF79" s="5"/>
      <c r="HCG79" s="5"/>
      <c r="HCH79" s="5"/>
      <c r="HCI79" s="5"/>
      <c r="HCJ79" s="5"/>
      <c r="HCK79" s="5"/>
      <c r="HCL79" s="5"/>
      <c r="HCM79" s="5"/>
      <c r="HCN79" s="5"/>
      <c r="HCO79" s="5"/>
      <c r="HCP79" s="5"/>
      <c r="HCQ79" s="5"/>
      <c r="HCR79" s="5"/>
      <c r="HCS79" s="5"/>
      <c r="HCT79" s="5"/>
      <c r="HCU79" s="5"/>
      <c r="HCV79" s="5"/>
      <c r="HCW79" s="5"/>
      <c r="HCX79" s="5"/>
      <c r="HCY79" s="5"/>
      <c r="HCZ79" s="5"/>
      <c r="HDA79" s="5"/>
      <c r="HDB79" s="5"/>
      <c r="HDC79" s="5"/>
      <c r="HDD79" s="5"/>
      <c r="HDE79" s="5"/>
      <c r="HDF79" s="5"/>
      <c r="HDG79" s="5"/>
      <c r="HDH79" s="5"/>
      <c r="HDI79" s="5"/>
      <c r="HDJ79" s="5"/>
      <c r="HDK79" s="5"/>
      <c r="HDL79" s="5"/>
      <c r="HDM79" s="5"/>
      <c r="HDN79" s="5"/>
      <c r="HDO79" s="5"/>
      <c r="HDP79" s="5"/>
      <c r="HDQ79" s="5"/>
      <c r="HDR79" s="5"/>
      <c r="HDS79" s="5"/>
      <c r="HDT79" s="5"/>
      <c r="HDU79" s="5"/>
      <c r="HDV79" s="5"/>
      <c r="HDW79" s="5"/>
      <c r="HDX79" s="5"/>
      <c r="HDY79" s="5"/>
      <c r="HDZ79" s="5"/>
      <c r="HEA79" s="5"/>
      <c r="HEB79" s="5"/>
      <c r="HEC79" s="5"/>
      <c r="HED79" s="5"/>
      <c r="HEE79" s="5"/>
      <c r="HEF79" s="5"/>
      <c r="HEG79" s="5"/>
      <c r="HEH79" s="5"/>
      <c r="HEI79" s="5"/>
      <c r="HEJ79" s="5"/>
      <c r="HEK79" s="5"/>
      <c r="HEL79" s="5"/>
      <c r="HEM79" s="5"/>
      <c r="HEN79" s="5"/>
      <c r="HEO79" s="5"/>
      <c r="HEP79" s="5"/>
      <c r="HEQ79" s="5"/>
      <c r="HER79" s="5"/>
      <c r="HES79" s="5"/>
      <c r="HET79" s="5"/>
      <c r="HEU79" s="5"/>
      <c r="HEV79" s="5"/>
      <c r="HEW79" s="5"/>
      <c r="HEX79" s="5"/>
      <c r="HEY79" s="5"/>
      <c r="HEZ79" s="5"/>
      <c r="HFA79" s="5"/>
      <c r="HFB79" s="5"/>
      <c r="HFC79" s="5"/>
      <c r="HFD79" s="5"/>
      <c r="HFE79" s="5"/>
      <c r="HFF79" s="5"/>
      <c r="HFG79" s="5"/>
      <c r="HFH79" s="5"/>
      <c r="HFI79" s="5"/>
      <c r="HFJ79" s="5"/>
      <c r="HFK79" s="5"/>
      <c r="HFL79" s="5"/>
      <c r="HFM79" s="5"/>
      <c r="HFN79" s="5"/>
      <c r="HFO79" s="5"/>
      <c r="HFP79" s="5"/>
      <c r="HFQ79" s="5"/>
      <c r="HFR79" s="5"/>
      <c r="HFS79" s="5"/>
      <c r="HFT79" s="5"/>
      <c r="HFU79" s="5"/>
      <c r="HFV79" s="5"/>
      <c r="HFW79" s="5"/>
      <c r="HFX79" s="5"/>
      <c r="HFY79" s="5"/>
      <c r="HFZ79" s="5"/>
      <c r="HGA79" s="5"/>
      <c r="HGB79" s="5"/>
      <c r="HGC79" s="5"/>
      <c r="HGD79" s="5"/>
      <c r="HGE79" s="5"/>
      <c r="HGF79" s="5"/>
      <c r="HGG79" s="5"/>
      <c r="HGH79" s="5"/>
      <c r="HGI79" s="5"/>
      <c r="HGJ79" s="5"/>
      <c r="HGK79" s="5"/>
      <c r="HGL79" s="5"/>
      <c r="HGM79" s="5"/>
      <c r="HGN79" s="5"/>
      <c r="HGO79" s="5"/>
      <c r="HGP79" s="5"/>
      <c r="HGQ79" s="5"/>
      <c r="HGR79" s="5"/>
      <c r="HGS79" s="5"/>
      <c r="HGT79" s="5"/>
      <c r="HGU79" s="5"/>
      <c r="HGV79" s="5"/>
      <c r="HGW79" s="5"/>
      <c r="HGX79" s="5"/>
      <c r="HGY79" s="5"/>
      <c r="HGZ79" s="5"/>
      <c r="HHA79" s="5"/>
      <c r="HHB79" s="5"/>
      <c r="HHC79" s="5"/>
      <c r="HHD79" s="5"/>
      <c r="HHE79" s="5"/>
      <c r="HHF79" s="5"/>
      <c r="HHG79" s="5"/>
      <c r="HHH79" s="5"/>
      <c r="HHI79" s="5"/>
      <c r="HHJ79" s="5"/>
      <c r="HHK79" s="5"/>
      <c r="HHL79" s="5"/>
      <c r="HHM79" s="5"/>
      <c r="HHN79" s="5"/>
      <c r="HHO79" s="5"/>
      <c r="HHP79" s="5"/>
      <c r="HHQ79" s="5"/>
      <c r="HHR79" s="5"/>
      <c r="HHS79" s="5"/>
      <c r="HHT79" s="5"/>
      <c r="HHU79" s="5"/>
      <c r="HHV79" s="5"/>
      <c r="HHW79" s="5"/>
      <c r="HHX79" s="5"/>
      <c r="HHY79" s="5"/>
      <c r="HHZ79" s="5"/>
      <c r="HIA79" s="5"/>
      <c r="HIB79" s="5"/>
      <c r="HIC79" s="5"/>
      <c r="HID79" s="5"/>
      <c r="HIE79" s="5"/>
      <c r="HIF79" s="5"/>
      <c r="HIG79" s="5"/>
      <c r="HIH79" s="5"/>
      <c r="HII79" s="5"/>
      <c r="HIJ79" s="5"/>
      <c r="HIK79" s="5"/>
      <c r="HIL79" s="5"/>
      <c r="HIM79" s="5"/>
      <c r="HIN79" s="5"/>
      <c r="HIO79" s="5"/>
      <c r="HIP79" s="5"/>
      <c r="HIQ79" s="5"/>
      <c r="HIR79" s="5"/>
      <c r="HIS79" s="5"/>
      <c r="HIT79" s="5"/>
      <c r="HIU79" s="5"/>
      <c r="HIV79" s="5"/>
      <c r="HIW79" s="5"/>
      <c r="HIX79" s="5"/>
      <c r="HIY79" s="5"/>
      <c r="HIZ79" s="5"/>
      <c r="HJA79" s="5"/>
      <c r="HJB79" s="5"/>
      <c r="HJC79" s="5"/>
      <c r="HJD79" s="5"/>
      <c r="HJE79" s="5"/>
      <c r="HJF79" s="5"/>
      <c r="HJG79" s="5"/>
      <c r="HJH79" s="5"/>
      <c r="HJI79" s="5"/>
      <c r="HJJ79" s="5"/>
      <c r="HJK79" s="5"/>
      <c r="HJL79" s="5"/>
      <c r="HJM79" s="5"/>
      <c r="HJN79" s="5"/>
      <c r="HJO79" s="5"/>
      <c r="HJP79" s="5"/>
      <c r="HJQ79" s="5"/>
      <c r="HJR79" s="5"/>
      <c r="HJS79" s="5"/>
      <c r="HJT79" s="5"/>
      <c r="HJU79" s="5"/>
      <c r="HJV79" s="5"/>
      <c r="HJW79" s="5"/>
      <c r="HJX79" s="5"/>
      <c r="HJY79" s="5"/>
      <c r="HJZ79" s="5"/>
      <c r="HKA79" s="5"/>
      <c r="HKB79" s="5"/>
      <c r="HKC79" s="5"/>
      <c r="HKD79" s="5"/>
      <c r="HKE79" s="5"/>
      <c r="HKF79" s="5"/>
      <c r="HKG79" s="5"/>
      <c r="HKH79" s="5"/>
      <c r="HKI79" s="5"/>
      <c r="HKJ79" s="5"/>
      <c r="HKK79" s="5"/>
      <c r="HKL79" s="5"/>
      <c r="HKM79" s="5"/>
      <c r="HKN79" s="5"/>
      <c r="HKO79" s="5"/>
      <c r="HKP79" s="5"/>
      <c r="HKQ79" s="5"/>
      <c r="HKR79" s="5"/>
      <c r="HKS79" s="5"/>
      <c r="HKT79" s="5"/>
      <c r="HKU79" s="5"/>
      <c r="HKV79" s="5"/>
      <c r="HKW79" s="5"/>
      <c r="HKX79" s="5"/>
      <c r="HKY79" s="5"/>
      <c r="HKZ79" s="5"/>
      <c r="HLA79" s="5"/>
      <c r="HLB79" s="5"/>
      <c r="HLC79" s="5"/>
      <c r="HLD79" s="5"/>
      <c r="HLE79" s="5"/>
      <c r="HLF79" s="5"/>
      <c r="HLG79" s="5"/>
      <c r="HLH79" s="5"/>
      <c r="HLI79" s="5"/>
      <c r="HLJ79" s="5"/>
      <c r="HLK79" s="5"/>
      <c r="HLL79" s="5"/>
      <c r="HLM79" s="5"/>
      <c r="HLN79" s="5"/>
      <c r="HLO79" s="5"/>
      <c r="HLP79" s="5"/>
      <c r="HLQ79" s="5"/>
      <c r="HLR79" s="5"/>
      <c r="HLS79" s="5"/>
      <c r="HLT79" s="5"/>
      <c r="HLU79" s="5"/>
      <c r="HLV79" s="5"/>
      <c r="HLW79" s="5"/>
      <c r="HLX79" s="5"/>
      <c r="HLY79" s="5"/>
      <c r="HLZ79" s="5"/>
      <c r="HMA79" s="5"/>
      <c r="HMB79" s="5"/>
      <c r="HMC79" s="5"/>
      <c r="HMD79" s="5"/>
      <c r="HME79" s="5"/>
      <c r="HMF79" s="5"/>
      <c r="HMG79" s="5"/>
      <c r="HMH79" s="5"/>
      <c r="HMI79" s="5"/>
      <c r="HMJ79" s="5"/>
      <c r="HMK79" s="5"/>
      <c r="HML79" s="5"/>
      <c r="HMM79" s="5"/>
      <c r="HMN79" s="5"/>
      <c r="HMO79" s="5"/>
      <c r="HMP79" s="5"/>
      <c r="HMQ79" s="5"/>
      <c r="HMR79" s="5"/>
      <c r="HMS79" s="5"/>
      <c r="HMT79" s="5"/>
      <c r="HMU79" s="5"/>
      <c r="HMV79" s="5"/>
      <c r="HMW79" s="5"/>
      <c r="HMX79" s="5"/>
      <c r="HMY79" s="5"/>
      <c r="HMZ79" s="5"/>
      <c r="HNA79" s="5"/>
      <c r="HNB79" s="5"/>
      <c r="HNC79" s="5"/>
      <c r="HND79" s="5"/>
      <c r="HNE79" s="5"/>
      <c r="HNF79" s="5"/>
      <c r="HNG79" s="5"/>
      <c r="HNH79" s="5"/>
      <c r="HNI79" s="5"/>
      <c r="HNJ79" s="5"/>
      <c r="HNK79" s="5"/>
      <c r="HNL79" s="5"/>
      <c r="HNM79" s="5"/>
      <c r="HNN79" s="5"/>
      <c r="HNO79" s="5"/>
      <c r="HNP79" s="5"/>
      <c r="HNQ79" s="5"/>
      <c r="HNR79" s="5"/>
      <c r="HNS79" s="5"/>
      <c r="HNT79" s="5"/>
      <c r="HNU79" s="5"/>
      <c r="HNV79" s="5"/>
      <c r="HNW79" s="5"/>
      <c r="HNX79" s="5"/>
      <c r="HNY79" s="5"/>
      <c r="HNZ79" s="5"/>
      <c r="HOA79" s="5"/>
      <c r="HOB79" s="5"/>
      <c r="HOC79" s="5"/>
      <c r="HOD79" s="5"/>
      <c r="HOE79" s="5"/>
      <c r="HOF79" s="5"/>
      <c r="HOG79" s="5"/>
      <c r="HOH79" s="5"/>
      <c r="HOI79" s="5"/>
      <c r="HOJ79" s="5"/>
      <c r="HOK79" s="5"/>
      <c r="HOL79" s="5"/>
      <c r="HOM79" s="5"/>
      <c r="HON79" s="5"/>
      <c r="HOO79" s="5"/>
      <c r="HOP79" s="5"/>
      <c r="HOQ79" s="5"/>
      <c r="HOR79" s="5"/>
      <c r="HOS79" s="5"/>
      <c r="HOT79" s="5"/>
      <c r="HOU79" s="5"/>
      <c r="HOV79" s="5"/>
      <c r="HOW79" s="5"/>
      <c r="HOX79" s="5"/>
      <c r="HOY79" s="5"/>
      <c r="HOZ79" s="5"/>
      <c r="HPA79" s="5"/>
      <c r="HPB79" s="5"/>
      <c r="HPC79" s="5"/>
      <c r="HPD79" s="5"/>
      <c r="HPE79" s="5"/>
      <c r="HPF79" s="5"/>
      <c r="HPG79" s="5"/>
      <c r="HPH79" s="5"/>
      <c r="HPI79" s="5"/>
      <c r="HPJ79" s="5"/>
      <c r="HPK79" s="5"/>
      <c r="HPL79" s="5"/>
      <c r="HPM79" s="5"/>
      <c r="HPN79" s="5"/>
      <c r="HPO79" s="5"/>
      <c r="HPP79" s="5"/>
      <c r="HPQ79" s="5"/>
      <c r="HPR79" s="5"/>
      <c r="HPS79" s="5"/>
      <c r="HPT79" s="5"/>
      <c r="HPU79" s="5"/>
      <c r="HPV79" s="5"/>
      <c r="HPW79" s="5"/>
      <c r="HPX79" s="5"/>
      <c r="HPY79" s="5"/>
      <c r="HPZ79" s="5"/>
      <c r="HQA79" s="5"/>
      <c r="HQB79" s="5"/>
      <c r="HQC79" s="5"/>
      <c r="HQD79" s="5"/>
      <c r="HQE79" s="5"/>
      <c r="HQF79" s="5"/>
      <c r="HQG79" s="5"/>
      <c r="HQH79" s="5"/>
      <c r="HQI79" s="5"/>
      <c r="HQJ79" s="5"/>
      <c r="HQK79" s="5"/>
      <c r="HQL79" s="5"/>
      <c r="HQM79" s="5"/>
      <c r="HQN79" s="5"/>
      <c r="HQO79" s="5"/>
      <c r="HQP79" s="5"/>
      <c r="HQQ79" s="5"/>
      <c r="HQR79" s="5"/>
      <c r="HQS79" s="5"/>
      <c r="HQT79" s="5"/>
      <c r="HQU79" s="5"/>
      <c r="HQV79" s="5"/>
      <c r="HQW79" s="5"/>
      <c r="HQX79" s="5"/>
      <c r="HQY79" s="5"/>
      <c r="HQZ79" s="5"/>
      <c r="HRA79" s="5"/>
      <c r="HRB79" s="5"/>
      <c r="HRC79" s="5"/>
      <c r="HRD79" s="5"/>
      <c r="HRE79" s="5"/>
      <c r="HRF79" s="5"/>
      <c r="HRG79" s="5"/>
      <c r="HRH79" s="5"/>
      <c r="HRI79" s="5"/>
      <c r="HRJ79" s="5"/>
      <c r="HRK79" s="5"/>
      <c r="HRL79" s="5"/>
      <c r="HRM79" s="5"/>
      <c r="HRN79" s="5"/>
      <c r="HRO79" s="5"/>
      <c r="HRP79" s="5"/>
      <c r="HRQ79" s="5"/>
      <c r="HRR79" s="5"/>
      <c r="HRS79" s="5"/>
      <c r="HRT79" s="5"/>
      <c r="HRU79" s="5"/>
      <c r="HRV79" s="5"/>
      <c r="HRW79" s="5"/>
      <c r="HRX79" s="5"/>
      <c r="HRY79" s="5"/>
      <c r="HRZ79" s="5"/>
      <c r="HSA79" s="5"/>
      <c r="HSB79" s="5"/>
      <c r="HSC79" s="5"/>
      <c r="HSD79" s="5"/>
      <c r="HSE79" s="5"/>
      <c r="HSF79" s="5"/>
      <c r="HSG79" s="5"/>
      <c r="HSH79" s="5"/>
      <c r="HSI79" s="5"/>
      <c r="HSJ79" s="5"/>
      <c r="HSK79" s="5"/>
      <c r="HSL79" s="5"/>
      <c r="HSM79" s="5"/>
      <c r="HSN79" s="5"/>
      <c r="HSO79" s="5"/>
      <c r="HSP79" s="5"/>
      <c r="HSQ79" s="5"/>
      <c r="HSR79" s="5"/>
      <c r="HSS79" s="5"/>
      <c r="HST79" s="5"/>
      <c r="HSU79" s="5"/>
      <c r="HSV79" s="5"/>
      <c r="HSW79" s="5"/>
      <c r="HSX79" s="5"/>
      <c r="HSY79" s="5"/>
      <c r="HSZ79" s="5"/>
      <c r="HTA79" s="5"/>
      <c r="HTB79" s="5"/>
      <c r="HTC79" s="5"/>
      <c r="HTD79" s="5"/>
      <c r="HTE79" s="5"/>
      <c r="HTF79" s="5"/>
      <c r="HTG79" s="5"/>
      <c r="HTH79" s="5"/>
      <c r="HTI79" s="5"/>
      <c r="HTJ79" s="5"/>
      <c r="HTK79" s="5"/>
      <c r="HTL79" s="5"/>
      <c r="HTM79" s="5"/>
      <c r="HTN79" s="5"/>
      <c r="HTO79" s="5"/>
      <c r="HTP79" s="5"/>
      <c r="HTQ79" s="5"/>
      <c r="HTR79" s="5"/>
      <c r="HTS79" s="5"/>
      <c r="HTT79" s="5"/>
      <c r="HTU79" s="5"/>
      <c r="HTV79" s="5"/>
      <c r="HTW79" s="5"/>
      <c r="HTX79" s="5"/>
      <c r="HTY79" s="5"/>
      <c r="HTZ79" s="5"/>
      <c r="HUA79" s="5"/>
      <c r="HUB79" s="5"/>
      <c r="HUC79" s="5"/>
      <c r="HUD79" s="5"/>
      <c r="HUE79" s="5"/>
      <c r="HUF79" s="5"/>
      <c r="HUG79" s="5"/>
      <c r="HUH79" s="5"/>
      <c r="HUI79" s="5"/>
      <c r="HUJ79" s="5"/>
      <c r="HUK79" s="5"/>
      <c r="HUL79" s="5"/>
      <c r="HUM79" s="5"/>
      <c r="HUN79" s="5"/>
      <c r="HUO79" s="5"/>
      <c r="HUP79" s="5"/>
      <c r="HUQ79" s="5"/>
      <c r="HUR79" s="5"/>
      <c r="HUS79" s="5"/>
      <c r="HUT79" s="5"/>
      <c r="HUU79" s="5"/>
      <c r="HUV79" s="5"/>
      <c r="HUW79" s="5"/>
      <c r="HUX79" s="5"/>
      <c r="HUY79" s="5"/>
      <c r="HUZ79" s="5"/>
      <c r="HVA79" s="5"/>
      <c r="HVB79" s="5"/>
      <c r="HVC79" s="5"/>
      <c r="HVD79" s="5"/>
      <c r="HVE79" s="5"/>
      <c r="HVF79" s="5"/>
      <c r="HVG79" s="5"/>
      <c r="HVH79" s="5"/>
      <c r="HVI79" s="5"/>
      <c r="HVJ79" s="5"/>
      <c r="HVK79" s="5"/>
      <c r="HVL79" s="5"/>
      <c r="HVM79" s="5"/>
      <c r="HVN79" s="5"/>
      <c r="HVO79" s="5"/>
      <c r="HVP79" s="5"/>
      <c r="HVQ79" s="5"/>
      <c r="HVR79" s="5"/>
      <c r="HVS79" s="5"/>
      <c r="HVT79" s="5"/>
      <c r="HVU79" s="5"/>
      <c r="HVV79" s="5"/>
      <c r="HVW79" s="5"/>
      <c r="HVX79" s="5"/>
      <c r="HVY79" s="5"/>
      <c r="HVZ79" s="5"/>
      <c r="HWA79" s="5"/>
      <c r="HWB79" s="5"/>
      <c r="HWC79" s="5"/>
      <c r="HWD79" s="5"/>
      <c r="HWE79" s="5"/>
      <c r="HWF79" s="5"/>
      <c r="HWG79" s="5"/>
      <c r="HWH79" s="5"/>
      <c r="HWI79" s="5"/>
      <c r="HWJ79" s="5"/>
      <c r="HWK79" s="5"/>
      <c r="HWL79" s="5"/>
      <c r="HWM79" s="5"/>
      <c r="HWN79" s="5"/>
      <c r="HWO79" s="5"/>
      <c r="HWP79" s="5"/>
      <c r="HWQ79" s="5"/>
      <c r="HWR79" s="5"/>
      <c r="HWS79" s="5"/>
      <c r="HWT79" s="5"/>
      <c r="HWU79" s="5"/>
      <c r="HWV79" s="5"/>
      <c r="HWW79" s="5"/>
      <c r="HWX79" s="5"/>
      <c r="HWY79" s="5"/>
      <c r="HWZ79" s="5"/>
      <c r="HXA79" s="5"/>
      <c r="HXB79" s="5"/>
      <c r="HXC79" s="5"/>
      <c r="HXD79" s="5"/>
      <c r="HXE79" s="5"/>
      <c r="HXF79" s="5"/>
      <c r="HXG79" s="5"/>
      <c r="HXH79" s="5"/>
      <c r="HXI79" s="5"/>
      <c r="HXJ79" s="5"/>
      <c r="HXK79" s="5"/>
      <c r="HXL79" s="5"/>
      <c r="HXM79" s="5"/>
      <c r="HXN79" s="5"/>
      <c r="HXO79" s="5"/>
      <c r="HXP79" s="5"/>
      <c r="HXQ79" s="5"/>
      <c r="HXR79" s="5"/>
      <c r="HXS79" s="5"/>
      <c r="HXT79" s="5"/>
      <c r="HXU79" s="5"/>
      <c r="HXV79" s="5"/>
      <c r="HXW79" s="5"/>
      <c r="HXX79" s="5"/>
      <c r="HXY79" s="5"/>
      <c r="HXZ79" s="5"/>
      <c r="HYA79" s="5"/>
      <c r="HYB79" s="5"/>
      <c r="HYC79" s="5"/>
      <c r="HYD79" s="5"/>
      <c r="HYE79" s="5"/>
      <c r="HYF79" s="5"/>
      <c r="HYG79" s="5"/>
      <c r="HYH79" s="5"/>
      <c r="HYI79" s="5"/>
      <c r="HYJ79" s="5"/>
      <c r="HYK79" s="5"/>
      <c r="HYL79" s="5"/>
      <c r="HYM79" s="5"/>
      <c r="HYN79" s="5"/>
      <c r="HYO79" s="5"/>
      <c r="HYP79" s="5"/>
      <c r="HYQ79" s="5"/>
      <c r="HYR79" s="5"/>
      <c r="HYS79" s="5"/>
      <c r="HYT79" s="5"/>
      <c r="HYU79" s="5"/>
      <c r="HYV79" s="5"/>
      <c r="HYW79" s="5"/>
      <c r="HYX79" s="5"/>
      <c r="HYY79" s="5"/>
      <c r="HYZ79" s="5"/>
      <c r="HZA79" s="5"/>
      <c r="HZB79" s="5"/>
      <c r="HZC79" s="5"/>
      <c r="HZD79" s="5"/>
      <c r="HZE79" s="5"/>
      <c r="HZF79" s="5"/>
      <c r="HZG79" s="5"/>
      <c r="HZH79" s="5"/>
      <c r="HZI79" s="5"/>
      <c r="HZJ79" s="5"/>
      <c r="HZK79" s="5"/>
      <c r="HZL79" s="5"/>
      <c r="HZM79" s="5"/>
      <c r="HZN79" s="5"/>
      <c r="HZO79" s="5"/>
      <c r="HZP79" s="5"/>
      <c r="HZQ79" s="5"/>
      <c r="HZR79" s="5"/>
      <c r="HZS79" s="5"/>
      <c r="HZT79" s="5"/>
      <c r="HZU79" s="5"/>
      <c r="HZV79" s="5"/>
      <c r="HZW79" s="5"/>
      <c r="HZX79" s="5"/>
      <c r="HZY79" s="5"/>
      <c r="HZZ79" s="5"/>
      <c r="IAA79" s="5"/>
      <c r="IAB79" s="5"/>
      <c r="IAC79" s="5"/>
      <c r="IAD79" s="5"/>
      <c r="IAE79" s="5"/>
      <c r="IAF79" s="5"/>
      <c r="IAG79" s="5"/>
      <c r="IAH79" s="5"/>
      <c r="IAI79" s="5"/>
      <c r="IAJ79" s="5"/>
      <c r="IAK79" s="5"/>
      <c r="IAL79" s="5"/>
      <c r="IAM79" s="5"/>
      <c r="IAN79" s="5"/>
      <c r="IAO79" s="5"/>
      <c r="IAP79" s="5"/>
      <c r="IAQ79" s="5"/>
      <c r="IAR79" s="5"/>
      <c r="IAS79" s="5"/>
      <c r="IAT79" s="5"/>
      <c r="IAU79" s="5"/>
      <c r="IAV79" s="5"/>
      <c r="IAW79" s="5"/>
      <c r="IAX79" s="5"/>
      <c r="IAY79" s="5"/>
      <c r="IAZ79" s="5"/>
      <c r="IBA79" s="5"/>
      <c r="IBB79" s="5"/>
      <c r="IBC79" s="5"/>
      <c r="IBD79" s="5"/>
      <c r="IBE79" s="5"/>
      <c r="IBF79" s="5"/>
      <c r="IBG79" s="5"/>
      <c r="IBH79" s="5"/>
      <c r="IBI79" s="5"/>
      <c r="IBJ79" s="5"/>
      <c r="IBK79" s="5"/>
      <c r="IBL79" s="5"/>
      <c r="IBM79" s="5"/>
      <c r="IBN79" s="5"/>
      <c r="IBO79" s="5"/>
      <c r="IBP79" s="5"/>
      <c r="IBQ79" s="5"/>
      <c r="IBR79" s="5"/>
      <c r="IBS79" s="5"/>
      <c r="IBT79" s="5"/>
      <c r="IBU79" s="5"/>
      <c r="IBV79" s="5"/>
      <c r="IBW79" s="5"/>
      <c r="IBX79" s="5"/>
      <c r="IBY79" s="5"/>
      <c r="IBZ79" s="5"/>
      <c r="ICA79" s="5"/>
      <c r="ICB79" s="5"/>
      <c r="ICC79" s="5"/>
      <c r="ICD79" s="5"/>
      <c r="ICE79" s="5"/>
      <c r="ICF79" s="5"/>
      <c r="ICG79" s="5"/>
      <c r="ICH79" s="5"/>
      <c r="ICI79" s="5"/>
      <c r="ICJ79" s="5"/>
      <c r="ICK79" s="5"/>
      <c r="ICL79" s="5"/>
      <c r="ICM79" s="5"/>
      <c r="ICN79" s="5"/>
      <c r="ICO79" s="5"/>
      <c r="ICP79" s="5"/>
      <c r="ICQ79" s="5"/>
      <c r="ICR79" s="5"/>
      <c r="ICS79" s="5"/>
      <c r="ICT79" s="5"/>
      <c r="ICU79" s="5"/>
      <c r="ICV79" s="5"/>
      <c r="ICW79" s="5"/>
      <c r="ICX79" s="5"/>
      <c r="ICY79" s="5"/>
      <c r="ICZ79" s="5"/>
      <c r="IDA79" s="5"/>
      <c r="IDB79" s="5"/>
      <c r="IDC79" s="5"/>
      <c r="IDD79" s="5"/>
      <c r="IDE79" s="5"/>
      <c r="IDF79" s="5"/>
      <c r="IDG79" s="5"/>
      <c r="IDH79" s="5"/>
      <c r="IDI79" s="5"/>
      <c r="IDJ79" s="5"/>
      <c r="IDK79" s="5"/>
      <c r="IDL79" s="5"/>
      <c r="IDM79" s="5"/>
      <c r="IDN79" s="5"/>
      <c r="IDO79" s="5"/>
      <c r="IDP79" s="5"/>
      <c r="IDQ79" s="5"/>
      <c r="IDR79" s="5"/>
      <c r="IDS79" s="5"/>
      <c r="IDT79" s="5"/>
      <c r="IDU79" s="5"/>
      <c r="IDV79" s="5"/>
      <c r="IDW79" s="5"/>
      <c r="IDX79" s="5"/>
      <c r="IDY79" s="5"/>
      <c r="IDZ79" s="5"/>
      <c r="IEA79" s="5"/>
      <c r="IEB79" s="5"/>
      <c r="IEC79" s="5"/>
      <c r="IED79" s="5"/>
      <c r="IEE79" s="5"/>
      <c r="IEF79" s="5"/>
      <c r="IEG79" s="5"/>
      <c r="IEH79" s="5"/>
      <c r="IEI79" s="5"/>
      <c r="IEJ79" s="5"/>
      <c r="IEK79" s="5"/>
      <c r="IEL79" s="5"/>
      <c r="IEM79" s="5"/>
      <c r="IEN79" s="5"/>
      <c r="IEO79" s="5"/>
      <c r="IEP79" s="5"/>
      <c r="IEQ79" s="5"/>
      <c r="IER79" s="5"/>
      <c r="IES79" s="5"/>
      <c r="IET79" s="5"/>
      <c r="IEU79" s="5"/>
      <c r="IEV79" s="5"/>
      <c r="IEW79" s="5"/>
      <c r="IEX79" s="5"/>
      <c r="IEY79" s="5"/>
      <c r="IEZ79" s="5"/>
      <c r="IFA79" s="5"/>
      <c r="IFB79" s="5"/>
      <c r="IFC79" s="5"/>
      <c r="IFD79" s="5"/>
      <c r="IFE79" s="5"/>
      <c r="IFF79" s="5"/>
      <c r="IFG79" s="5"/>
      <c r="IFH79" s="5"/>
      <c r="IFI79" s="5"/>
      <c r="IFJ79" s="5"/>
      <c r="IFK79" s="5"/>
      <c r="IFL79" s="5"/>
      <c r="IFM79" s="5"/>
      <c r="IFN79" s="5"/>
      <c r="IFO79" s="5"/>
      <c r="IFP79" s="5"/>
      <c r="IFQ79" s="5"/>
      <c r="IFR79" s="5"/>
      <c r="IFS79" s="5"/>
      <c r="IFT79" s="5"/>
      <c r="IFU79" s="5"/>
      <c r="IFV79" s="5"/>
      <c r="IFW79" s="5"/>
      <c r="IFX79" s="5"/>
      <c r="IFY79" s="5"/>
      <c r="IFZ79" s="5"/>
      <c r="IGA79" s="5"/>
      <c r="IGB79" s="5"/>
      <c r="IGC79" s="5"/>
      <c r="IGD79" s="5"/>
      <c r="IGE79" s="5"/>
      <c r="IGF79" s="5"/>
      <c r="IGG79" s="5"/>
      <c r="IGH79" s="5"/>
      <c r="IGI79" s="5"/>
      <c r="IGJ79" s="5"/>
      <c r="IGK79" s="5"/>
      <c r="IGL79" s="5"/>
      <c r="IGM79" s="5"/>
      <c r="IGN79" s="5"/>
      <c r="IGO79" s="5"/>
      <c r="IGP79" s="5"/>
      <c r="IGQ79" s="5"/>
      <c r="IGR79" s="5"/>
      <c r="IGS79" s="5"/>
      <c r="IGT79" s="5"/>
      <c r="IGU79" s="5"/>
      <c r="IGV79" s="5"/>
      <c r="IGW79" s="5"/>
      <c r="IGX79" s="5"/>
      <c r="IGY79" s="5"/>
      <c r="IGZ79" s="5"/>
      <c r="IHA79" s="5"/>
      <c r="IHB79" s="5"/>
      <c r="IHC79" s="5"/>
      <c r="IHD79" s="5"/>
      <c r="IHE79" s="5"/>
      <c r="IHF79" s="5"/>
      <c r="IHG79" s="5"/>
      <c r="IHH79" s="5"/>
      <c r="IHI79" s="5"/>
      <c r="IHJ79" s="5"/>
      <c r="IHK79" s="5"/>
      <c r="IHL79" s="5"/>
      <c r="IHM79" s="5"/>
      <c r="IHN79" s="5"/>
      <c r="IHO79" s="5"/>
      <c r="IHP79" s="5"/>
      <c r="IHQ79" s="5"/>
      <c r="IHR79" s="5"/>
      <c r="IHS79" s="5"/>
      <c r="IHT79" s="5"/>
      <c r="IHU79" s="5"/>
      <c r="IHV79" s="5"/>
      <c r="IHW79" s="5"/>
      <c r="IHX79" s="5"/>
      <c r="IHY79" s="5"/>
      <c r="IHZ79" s="5"/>
      <c r="IIA79" s="5"/>
      <c r="IIB79" s="5"/>
      <c r="IIC79" s="5"/>
      <c r="IID79" s="5"/>
      <c r="IIE79" s="5"/>
      <c r="IIF79" s="5"/>
      <c r="IIG79" s="5"/>
      <c r="IIH79" s="5"/>
      <c r="III79" s="5"/>
      <c r="IIJ79" s="5"/>
      <c r="IIK79" s="5"/>
      <c r="IIL79" s="5"/>
      <c r="IIM79" s="5"/>
      <c r="IIN79" s="5"/>
      <c r="IIO79" s="5"/>
      <c r="IIP79" s="5"/>
      <c r="IIQ79" s="5"/>
      <c r="IIR79" s="5"/>
      <c r="IIS79" s="5"/>
      <c r="IIT79" s="5"/>
      <c r="IIU79" s="5"/>
      <c r="IIV79" s="5"/>
      <c r="IIW79" s="5"/>
      <c r="IIX79" s="5"/>
      <c r="IIY79" s="5"/>
      <c r="IIZ79" s="5"/>
      <c r="IJA79" s="5"/>
      <c r="IJB79" s="5"/>
      <c r="IJC79" s="5"/>
      <c r="IJD79" s="5"/>
      <c r="IJE79" s="5"/>
      <c r="IJF79" s="5"/>
      <c r="IJG79" s="5"/>
      <c r="IJH79" s="5"/>
      <c r="IJI79" s="5"/>
      <c r="IJJ79" s="5"/>
      <c r="IJK79" s="5"/>
      <c r="IJL79" s="5"/>
      <c r="IJM79" s="5"/>
      <c r="IJN79" s="5"/>
      <c r="IJO79" s="5"/>
      <c r="IJP79" s="5"/>
      <c r="IJQ79" s="5"/>
      <c r="IJR79" s="5"/>
      <c r="IJS79" s="5"/>
      <c r="IJT79" s="5"/>
      <c r="IJU79" s="5"/>
      <c r="IJV79" s="5"/>
      <c r="IJW79" s="5"/>
      <c r="IJX79" s="5"/>
      <c r="IJY79" s="5"/>
      <c r="IJZ79" s="5"/>
      <c r="IKA79" s="5"/>
      <c r="IKB79" s="5"/>
      <c r="IKC79" s="5"/>
      <c r="IKD79" s="5"/>
      <c r="IKE79" s="5"/>
      <c r="IKF79" s="5"/>
      <c r="IKG79" s="5"/>
      <c r="IKH79" s="5"/>
      <c r="IKI79" s="5"/>
      <c r="IKJ79" s="5"/>
      <c r="IKK79" s="5"/>
      <c r="IKL79" s="5"/>
      <c r="IKM79" s="5"/>
      <c r="IKN79" s="5"/>
      <c r="IKO79" s="5"/>
      <c r="IKP79" s="5"/>
      <c r="IKQ79" s="5"/>
      <c r="IKR79" s="5"/>
      <c r="IKS79" s="5"/>
      <c r="IKT79" s="5"/>
      <c r="IKU79" s="5"/>
      <c r="IKV79" s="5"/>
      <c r="IKW79" s="5"/>
      <c r="IKX79" s="5"/>
      <c r="IKY79" s="5"/>
      <c r="IKZ79" s="5"/>
      <c r="ILA79" s="5"/>
      <c r="ILB79" s="5"/>
      <c r="ILC79" s="5"/>
      <c r="ILD79" s="5"/>
      <c r="ILE79" s="5"/>
      <c r="ILF79" s="5"/>
      <c r="ILG79" s="5"/>
      <c r="ILH79" s="5"/>
      <c r="ILI79" s="5"/>
      <c r="ILJ79" s="5"/>
      <c r="ILK79" s="5"/>
      <c r="ILL79" s="5"/>
      <c r="ILM79" s="5"/>
      <c r="ILN79" s="5"/>
      <c r="ILO79" s="5"/>
      <c r="ILP79" s="5"/>
      <c r="ILQ79" s="5"/>
      <c r="ILR79" s="5"/>
      <c r="ILS79" s="5"/>
      <c r="ILT79" s="5"/>
      <c r="ILU79" s="5"/>
      <c r="ILV79" s="5"/>
      <c r="ILW79" s="5"/>
      <c r="ILX79" s="5"/>
      <c r="ILY79" s="5"/>
      <c r="ILZ79" s="5"/>
      <c r="IMA79" s="5"/>
      <c r="IMB79" s="5"/>
      <c r="IMC79" s="5"/>
      <c r="IMD79" s="5"/>
      <c r="IME79" s="5"/>
      <c r="IMF79" s="5"/>
      <c r="IMG79" s="5"/>
      <c r="IMH79" s="5"/>
      <c r="IMI79" s="5"/>
      <c r="IMJ79" s="5"/>
      <c r="IMK79" s="5"/>
      <c r="IML79" s="5"/>
      <c r="IMM79" s="5"/>
      <c r="IMN79" s="5"/>
      <c r="IMO79" s="5"/>
      <c r="IMP79" s="5"/>
      <c r="IMQ79" s="5"/>
      <c r="IMR79" s="5"/>
      <c r="IMS79" s="5"/>
      <c r="IMT79" s="5"/>
      <c r="IMU79" s="5"/>
      <c r="IMV79" s="5"/>
      <c r="IMW79" s="5"/>
      <c r="IMX79" s="5"/>
      <c r="IMY79" s="5"/>
      <c r="IMZ79" s="5"/>
      <c r="INA79" s="5"/>
      <c r="INB79" s="5"/>
      <c r="INC79" s="5"/>
      <c r="IND79" s="5"/>
      <c r="INE79" s="5"/>
      <c r="INF79" s="5"/>
      <c r="ING79" s="5"/>
      <c r="INH79" s="5"/>
      <c r="INI79" s="5"/>
      <c r="INJ79" s="5"/>
      <c r="INK79" s="5"/>
      <c r="INL79" s="5"/>
      <c r="INM79" s="5"/>
      <c r="INN79" s="5"/>
      <c r="INO79" s="5"/>
      <c r="INP79" s="5"/>
      <c r="INQ79" s="5"/>
      <c r="INR79" s="5"/>
      <c r="INS79" s="5"/>
      <c r="INT79" s="5"/>
      <c r="INU79" s="5"/>
      <c r="INV79" s="5"/>
      <c r="INW79" s="5"/>
      <c r="INX79" s="5"/>
      <c r="INY79" s="5"/>
      <c r="INZ79" s="5"/>
      <c r="IOA79" s="5"/>
      <c r="IOB79" s="5"/>
      <c r="IOC79" s="5"/>
      <c r="IOD79" s="5"/>
      <c r="IOE79" s="5"/>
      <c r="IOF79" s="5"/>
      <c r="IOG79" s="5"/>
      <c r="IOH79" s="5"/>
      <c r="IOI79" s="5"/>
      <c r="IOJ79" s="5"/>
      <c r="IOK79" s="5"/>
      <c r="IOL79" s="5"/>
      <c r="IOM79" s="5"/>
      <c r="ION79" s="5"/>
      <c r="IOO79" s="5"/>
      <c r="IOP79" s="5"/>
      <c r="IOQ79" s="5"/>
      <c r="IOR79" s="5"/>
      <c r="IOS79" s="5"/>
      <c r="IOT79" s="5"/>
      <c r="IOU79" s="5"/>
      <c r="IOV79" s="5"/>
      <c r="IOW79" s="5"/>
      <c r="IOX79" s="5"/>
      <c r="IOY79" s="5"/>
      <c r="IOZ79" s="5"/>
      <c r="IPA79" s="5"/>
      <c r="IPB79" s="5"/>
      <c r="IPC79" s="5"/>
      <c r="IPD79" s="5"/>
      <c r="IPE79" s="5"/>
      <c r="IPF79" s="5"/>
      <c r="IPG79" s="5"/>
      <c r="IPH79" s="5"/>
      <c r="IPI79" s="5"/>
      <c r="IPJ79" s="5"/>
      <c r="IPK79" s="5"/>
      <c r="IPL79" s="5"/>
      <c r="IPM79" s="5"/>
      <c r="IPN79" s="5"/>
      <c r="IPO79" s="5"/>
      <c r="IPP79" s="5"/>
      <c r="IPQ79" s="5"/>
      <c r="IPR79" s="5"/>
      <c r="IPS79" s="5"/>
      <c r="IPT79" s="5"/>
      <c r="IPU79" s="5"/>
      <c r="IPV79" s="5"/>
      <c r="IPW79" s="5"/>
      <c r="IPX79" s="5"/>
      <c r="IPY79" s="5"/>
      <c r="IPZ79" s="5"/>
      <c r="IQA79" s="5"/>
      <c r="IQB79" s="5"/>
      <c r="IQC79" s="5"/>
      <c r="IQD79" s="5"/>
      <c r="IQE79" s="5"/>
      <c r="IQF79" s="5"/>
      <c r="IQG79" s="5"/>
      <c r="IQH79" s="5"/>
      <c r="IQI79" s="5"/>
      <c r="IQJ79" s="5"/>
      <c r="IQK79" s="5"/>
      <c r="IQL79" s="5"/>
      <c r="IQM79" s="5"/>
      <c r="IQN79" s="5"/>
      <c r="IQO79" s="5"/>
      <c r="IQP79" s="5"/>
      <c r="IQQ79" s="5"/>
      <c r="IQR79" s="5"/>
      <c r="IQS79" s="5"/>
      <c r="IQT79" s="5"/>
      <c r="IQU79" s="5"/>
      <c r="IQV79" s="5"/>
      <c r="IQW79" s="5"/>
      <c r="IQX79" s="5"/>
      <c r="IQY79" s="5"/>
      <c r="IQZ79" s="5"/>
      <c r="IRA79" s="5"/>
      <c r="IRB79" s="5"/>
      <c r="IRC79" s="5"/>
      <c r="IRD79" s="5"/>
      <c r="IRE79" s="5"/>
      <c r="IRF79" s="5"/>
      <c r="IRG79" s="5"/>
      <c r="IRH79" s="5"/>
      <c r="IRI79" s="5"/>
      <c r="IRJ79" s="5"/>
      <c r="IRK79" s="5"/>
      <c r="IRL79" s="5"/>
      <c r="IRM79" s="5"/>
      <c r="IRN79" s="5"/>
      <c r="IRO79" s="5"/>
      <c r="IRP79" s="5"/>
      <c r="IRQ79" s="5"/>
      <c r="IRR79" s="5"/>
      <c r="IRS79" s="5"/>
      <c r="IRT79" s="5"/>
      <c r="IRU79" s="5"/>
      <c r="IRV79" s="5"/>
      <c r="IRW79" s="5"/>
      <c r="IRX79" s="5"/>
      <c r="IRY79" s="5"/>
      <c r="IRZ79" s="5"/>
      <c r="ISA79" s="5"/>
      <c r="ISB79" s="5"/>
      <c r="ISC79" s="5"/>
      <c r="ISD79" s="5"/>
      <c r="ISE79" s="5"/>
      <c r="ISF79" s="5"/>
      <c r="ISG79" s="5"/>
      <c r="ISH79" s="5"/>
      <c r="ISI79" s="5"/>
      <c r="ISJ79" s="5"/>
      <c r="ISK79" s="5"/>
      <c r="ISL79" s="5"/>
      <c r="ISM79" s="5"/>
      <c r="ISN79" s="5"/>
      <c r="ISO79" s="5"/>
      <c r="ISP79" s="5"/>
      <c r="ISQ79" s="5"/>
      <c r="ISR79" s="5"/>
      <c r="ISS79" s="5"/>
      <c r="IST79" s="5"/>
      <c r="ISU79" s="5"/>
      <c r="ISV79" s="5"/>
      <c r="ISW79" s="5"/>
      <c r="ISX79" s="5"/>
      <c r="ISY79" s="5"/>
      <c r="ISZ79" s="5"/>
      <c r="ITA79" s="5"/>
      <c r="ITB79" s="5"/>
      <c r="ITC79" s="5"/>
      <c r="ITD79" s="5"/>
      <c r="ITE79" s="5"/>
      <c r="ITF79" s="5"/>
      <c r="ITG79" s="5"/>
      <c r="ITH79" s="5"/>
      <c r="ITI79" s="5"/>
      <c r="ITJ79" s="5"/>
      <c r="ITK79" s="5"/>
      <c r="ITL79" s="5"/>
      <c r="ITM79" s="5"/>
      <c r="ITN79" s="5"/>
      <c r="ITO79" s="5"/>
      <c r="ITP79" s="5"/>
      <c r="ITQ79" s="5"/>
      <c r="ITR79" s="5"/>
      <c r="ITS79" s="5"/>
      <c r="ITT79" s="5"/>
      <c r="ITU79" s="5"/>
      <c r="ITV79" s="5"/>
      <c r="ITW79" s="5"/>
      <c r="ITX79" s="5"/>
      <c r="ITY79" s="5"/>
      <c r="ITZ79" s="5"/>
      <c r="IUA79" s="5"/>
      <c r="IUB79" s="5"/>
      <c r="IUC79" s="5"/>
      <c r="IUD79" s="5"/>
      <c r="IUE79" s="5"/>
      <c r="IUF79" s="5"/>
      <c r="IUG79" s="5"/>
      <c r="IUH79" s="5"/>
      <c r="IUI79" s="5"/>
      <c r="IUJ79" s="5"/>
      <c r="IUK79" s="5"/>
      <c r="IUL79" s="5"/>
      <c r="IUM79" s="5"/>
      <c r="IUN79" s="5"/>
      <c r="IUO79" s="5"/>
      <c r="IUP79" s="5"/>
      <c r="IUQ79" s="5"/>
      <c r="IUR79" s="5"/>
      <c r="IUS79" s="5"/>
      <c r="IUT79" s="5"/>
      <c r="IUU79" s="5"/>
      <c r="IUV79" s="5"/>
      <c r="IUW79" s="5"/>
      <c r="IUX79" s="5"/>
      <c r="IUY79" s="5"/>
      <c r="IUZ79" s="5"/>
      <c r="IVA79" s="5"/>
      <c r="IVB79" s="5"/>
      <c r="IVC79" s="5"/>
      <c r="IVD79" s="5"/>
      <c r="IVE79" s="5"/>
      <c r="IVF79" s="5"/>
      <c r="IVG79" s="5"/>
      <c r="IVH79" s="5"/>
      <c r="IVI79" s="5"/>
      <c r="IVJ79" s="5"/>
      <c r="IVK79" s="5"/>
      <c r="IVL79" s="5"/>
      <c r="IVM79" s="5"/>
      <c r="IVN79" s="5"/>
      <c r="IVO79" s="5"/>
      <c r="IVP79" s="5"/>
      <c r="IVQ79" s="5"/>
      <c r="IVR79" s="5"/>
      <c r="IVS79" s="5"/>
      <c r="IVT79" s="5"/>
      <c r="IVU79" s="5"/>
      <c r="IVV79" s="5"/>
      <c r="IVW79" s="5"/>
      <c r="IVX79" s="5"/>
      <c r="IVY79" s="5"/>
      <c r="IVZ79" s="5"/>
      <c r="IWA79" s="5"/>
      <c r="IWB79" s="5"/>
      <c r="IWC79" s="5"/>
      <c r="IWD79" s="5"/>
      <c r="IWE79" s="5"/>
      <c r="IWF79" s="5"/>
      <c r="IWG79" s="5"/>
      <c r="IWH79" s="5"/>
      <c r="IWI79" s="5"/>
      <c r="IWJ79" s="5"/>
      <c r="IWK79" s="5"/>
      <c r="IWL79" s="5"/>
      <c r="IWM79" s="5"/>
      <c r="IWN79" s="5"/>
      <c r="IWO79" s="5"/>
      <c r="IWP79" s="5"/>
      <c r="IWQ79" s="5"/>
      <c r="IWR79" s="5"/>
      <c r="IWS79" s="5"/>
      <c r="IWT79" s="5"/>
      <c r="IWU79" s="5"/>
      <c r="IWV79" s="5"/>
      <c r="IWW79" s="5"/>
      <c r="IWX79" s="5"/>
      <c r="IWY79" s="5"/>
      <c r="IWZ79" s="5"/>
      <c r="IXA79" s="5"/>
      <c r="IXB79" s="5"/>
      <c r="IXC79" s="5"/>
      <c r="IXD79" s="5"/>
      <c r="IXE79" s="5"/>
      <c r="IXF79" s="5"/>
      <c r="IXG79" s="5"/>
      <c r="IXH79" s="5"/>
      <c r="IXI79" s="5"/>
      <c r="IXJ79" s="5"/>
      <c r="IXK79" s="5"/>
      <c r="IXL79" s="5"/>
      <c r="IXM79" s="5"/>
      <c r="IXN79" s="5"/>
      <c r="IXO79" s="5"/>
      <c r="IXP79" s="5"/>
      <c r="IXQ79" s="5"/>
      <c r="IXR79" s="5"/>
      <c r="IXS79" s="5"/>
      <c r="IXT79" s="5"/>
      <c r="IXU79" s="5"/>
      <c r="IXV79" s="5"/>
      <c r="IXW79" s="5"/>
      <c r="IXX79" s="5"/>
      <c r="IXY79" s="5"/>
      <c r="IXZ79" s="5"/>
      <c r="IYA79" s="5"/>
      <c r="IYB79" s="5"/>
      <c r="IYC79" s="5"/>
      <c r="IYD79" s="5"/>
      <c r="IYE79" s="5"/>
      <c r="IYF79" s="5"/>
      <c r="IYG79" s="5"/>
      <c r="IYH79" s="5"/>
      <c r="IYI79" s="5"/>
      <c r="IYJ79" s="5"/>
      <c r="IYK79" s="5"/>
      <c r="IYL79" s="5"/>
      <c r="IYM79" s="5"/>
      <c r="IYN79" s="5"/>
      <c r="IYO79" s="5"/>
      <c r="IYP79" s="5"/>
      <c r="IYQ79" s="5"/>
      <c r="IYR79" s="5"/>
      <c r="IYS79" s="5"/>
      <c r="IYT79" s="5"/>
      <c r="IYU79" s="5"/>
      <c r="IYV79" s="5"/>
      <c r="IYW79" s="5"/>
      <c r="IYX79" s="5"/>
      <c r="IYY79" s="5"/>
      <c r="IYZ79" s="5"/>
      <c r="IZA79" s="5"/>
      <c r="IZB79" s="5"/>
      <c r="IZC79" s="5"/>
      <c r="IZD79" s="5"/>
      <c r="IZE79" s="5"/>
      <c r="IZF79" s="5"/>
      <c r="IZG79" s="5"/>
      <c r="IZH79" s="5"/>
      <c r="IZI79" s="5"/>
      <c r="IZJ79" s="5"/>
      <c r="IZK79" s="5"/>
      <c r="IZL79" s="5"/>
      <c r="IZM79" s="5"/>
      <c r="IZN79" s="5"/>
      <c r="IZO79" s="5"/>
      <c r="IZP79" s="5"/>
      <c r="IZQ79" s="5"/>
      <c r="IZR79" s="5"/>
      <c r="IZS79" s="5"/>
      <c r="IZT79" s="5"/>
      <c r="IZU79" s="5"/>
      <c r="IZV79" s="5"/>
      <c r="IZW79" s="5"/>
      <c r="IZX79" s="5"/>
      <c r="IZY79" s="5"/>
      <c r="IZZ79" s="5"/>
      <c r="JAA79" s="5"/>
      <c r="JAB79" s="5"/>
      <c r="JAC79" s="5"/>
      <c r="JAD79" s="5"/>
      <c r="JAE79" s="5"/>
      <c r="JAF79" s="5"/>
      <c r="JAG79" s="5"/>
      <c r="JAH79" s="5"/>
      <c r="JAI79" s="5"/>
      <c r="JAJ79" s="5"/>
      <c r="JAK79" s="5"/>
      <c r="JAL79" s="5"/>
      <c r="JAM79" s="5"/>
      <c r="JAN79" s="5"/>
      <c r="JAO79" s="5"/>
      <c r="JAP79" s="5"/>
      <c r="JAQ79" s="5"/>
      <c r="JAR79" s="5"/>
      <c r="JAS79" s="5"/>
      <c r="JAT79" s="5"/>
      <c r="JAU79" s="5"/>
      <c r="JAV79" s="5"/>
      <c r="JAW79" s="5"/>
      <c r="JAX79" s="5"/>
      <c r="JAY79" s="5"/>
      <c r="JAZ79" s="5"/>
      <c r="JBA79" s="5"/>
      <c r="JBB79" s="5"/>
      <c r="JBC79" s="5"/>
      <c r="JBD79" s="5"/>
      <c r="JBE79" s="5"/>
      <c r="JBF79" s="5"/>
      <c r="JBG79" s="5"/>
      <c r="JBH79" s="5"/>
      <c r="JBI79" s="5"/>
      <c r="JBJ79" s="5"/>
      <c r="JBK79" s="5"/>
      <c r="JBL79" s="5"/>
      <c r="JBM79" s="5"/>
      <c r="JBN79" s="5"/>
      <c r="JBO79" s="5"/>
      <c r="JBP79" s="5"/>
      <c r="JBQ79" s="5"/>
      <c r="JBR79" s="5"/>
      <c r="JBS79" s="5"/>
      <c r="JBT79" s="5"/>
      <c r="JBU79" s="5"/>
      <c r="JBV79" s="5"/>
      <c r="JBW79" s="5"/>
      <c r="JBX79" s="5"/>
      <c r="JBY79" s="5"/>
      <c r="JBZ79" s="5"/>
      <c r="JCA79" s="5"/>
      <c r="JCB79" s="5"/>
      <c r="JCC79" s="5"/>
      <c r="JCD79" s="5"/>
      <c r="JCE79" s="5"/>
      <c r="JCF79" s="5"/>
      <c r="JCG79" s="5"/>
      <c r="JCH79" s="5"/>
      <c r="JCI79" s="5"/>
      <c r="JCJ79" s="5"/>
      <c r="JCK79" s="5"/>
      <c r="JCL79" s="5"/>
      <c r="JCM79" s="5"/>
      <c r="JCN79" s="5"/>
      <c r="JCO79" s="5"/>
      <c r="JCP79" s="5"/>
      <c r="JCQ79" s="5"/>
      <c r="JCR79" s="5"/>
      <c r="JCS79" s="5"/>
      <c r="JCT79" s="5"/>
      <c r="JCU79" s="5"/>
      <c r="JCV79" s="5"/>
      <c r="JCW79" s="5"/>
      <c r="JCX79" s="5"/>
      <c r="JCY79" s="5"/>
      <c r="JCZ79" s="5"/>
      <c r="JDA79" s="5"/>
      <c r="JDB79" s="5"/>
      <c r="JDC79" s="5"/>
      <c r="JDD79" s="5"/>
      <c r="JDE79" s="5"/>
      <c r="JDF79" s="5"/>
      <c r="JDG79" s="5"/>
      <c r="JDH79" s="5"/>
      <c r="JDI79" s="5"/>
      <c r="JDJ79" s="5"/>
      <c r="JDK79" s="5"/>
      <c r="JDL79" s="5"/>
      <c r="JDM79" s="5"/>
      <c r="JDN79" s="5"/>
      <c r="JDO79" s="5"/>
      <c r="JDP79" s="5"/>
      <c r="JDQ79" s="5"/>
      <c r="JDR79" s="5"/>
      <c r="JDS79" s="5"/>
      <c r="JDT79" s="5"/>
      <c r="JDU79" s="5"/>
      <c r="JDV79" s="5"/>
      <c r="JDW79" s="5"/>
      <c r="JDX79" s="5"/>
      <c r="JDY79" s="5"/>
      <c r="JDZ79" s="5"/>
      <c r="JEA79" s="5"/>
      <c r="JEB79" s="5"/>
      <c r="JEC79" s="5"/>
      <c r="JED79" s="5"/>
      <c r="JEE79" s="5"/>
      <c r="JEF79" s="5"/>
      <c r="JEG79" s="5"/>
      <c r="JEH79" s="5"/>
      <c r="JEI79" s="5"/>
      <c r="JEJ79" s="5"/>
      <c r="JEK79" s="5"/>
      <c r="JEL79" s="5"/>
      <c r="JEM79" s="5"/>
      <c r="JEN79" s="5"/>
      <c r="JEO79" s="5"/>
      <c r="JEP79" s="5"/>
      <c r="JEQ79" s="5"/>
      <c r="JER79" s="5"/>
      <c r="JES79" s="5"/>
      <c r="JET79" s="5"/>
      <c r="JEU79" s="5"/>
      <c r="JEV79" s="5"/>
      <c r="JEW79" s="5"/>
      <c r="JEX79" s="5"/>
      <c r="JEY79" s="5"/>
      <c r="JEZ79" s="5"/>
      <c r="JFA79" s="5"/>
      <c r="JFB79" s="5"/>
      <c r="JFC79" s="5"/>
      <c r="JFD79" s="5"/>
      <c r="JFE79" s="5"/>
      <c r="JFF79" s="5"/>
      <c r="JFG79" s="5"/>
      <c r="JFH79" s="5"/>
      <c r="JFI79" s="5"/>
      <c r="JFJ79" s="5"/>
      <c r="JFK79" s="5"/>
      <c r="JFL79" s="5"/>
      <c r="JFM79" s="5"/>
      <c r="JFN79" s="5"/>
      <c r="JFO79" s="5"/>
      <c r="JFP79" s="5"/>
      <c r="JFQ79" s="5"/>
      <c r="JFR79" s="5"/>
      <c r="JFS79" s="5"/>
      <c r="JFT79" s="5"/>
      <c r="JFU79" s="5"/>
      <c r="JFV79" s="5"/>
      <c r="JFW79" s="5"/>
      <c r="JFX79" s="5"/>
      <c r="JFY79" s="5"/>
      <c r="JFZ79" s="5"/>
      <c r="JGA79" s="5"/>
      <c r="JGB79" s="5"/>
      <c r="JGC79" s="5"/>
      <c r="JGD79" s="5"/>
      <c r="JGE79" s="5"/>
      <c r="JGF79" s="5"/>
      <c r="JGG79" s="5"/>
      <c r="JGH79" s="5"/>
      <c r="JGI79" s="5"/>
      <c r="JGJ79" s="5"/>
      <c r="JGK79" s="5"/>
      <c r="JGL79" s="5"/>
      <c r="JGM79" s="5"/>
      <c r="JGN79" s="5"/>
      <c r="JGO79" s="5"/>
      <c r="JGP79" s="5"/>
      <c r="JGQ79" s="5"/>
      <c r="JGR79" s="5"/>
      <c r="JGS79" s="5"/>
      <c r="JGT79" s="5"/>
      <c r="JGU79" s="5"/>
      <c r="JGV79" s="5"/>
      <c r="JGW79" s="5"/>
      <c r="JGX79" s="5"/>
      <c r="JGY79" s="5"/>
      <c r="JGZ79" s="5"/>
      <c r="JHA79" s="5"/>
      <c r="JHB79" s="5"/>
      <c r="JHC79" s="5"/>
      <c r="JHD79" s="5"/>
      <c r="JHE79" s="5"/>
      <c r="JHF79" s="5"/>
      <c r="JHG79" s="5"/>
      <c r="JHH79" s="5"/>
      <c r="JHI79" s="5"/>
      <c r="JHJ79" s="5"/>
      <c r="JHK79" s="5"/>
      <c r="JHL79" s="5"/>
      <c r="JHM79" s="5"/>
      <c r="JHN79" s="5"/>
      <c r="JHO79" s="5"/>
      <c r="JHP79" s="5"/>
      <c r="JHQ79" s="5"/>
      <c r="JHR79" s="5"/>
      <c r="JHS79" s="5"/>
      <c r="JHT79" s="5"/>
      <c r="JHU79" s="5"/>
      <c r="JHV79" s="5"/>
      <c r="JHW79" s="5"/>
      <c r="JHX79" s="5"/>
      <c r="JHY79" s="5"/>
      <c r="JHZ79" s="5"/>
      <c r="JIA79" s="5"/>
      <c r="JIB79" s="5"/>
      <c r="JIC79" s="5"/>
      <c r="JID79" s="5"/>
      <c r="JIE79" s="5"/>
      <c r="JIF79" s="5"/>
      <c r="JIG79" s="5"/>
      <c r="JIH79" s="5"/>
      <c r="JII79" s="5"/>
      <c r="JIJ79" s="5"/>
      <c r="JIK79" s="5"/>
      <c r="JIL79" s="5"/>
      <c r="JIM79" s="5"/>
      <c r="JIN79" s="5"/>
      <c r="JIO79" s="5"/>
      <c r="JIP79" s="5"/>
      <c r="JIQ79" s="5"/>
      <c r="JIR79" s="5"/>
      <c r="JIS79" s="5"/>
      <c r="JIT79" s="5"/>
      <c r="JIU79" s="5"/>
      <c r="JIV79" s="5"/>
      <c r="JIW79" s="5"/>
      <c r="JIX79" s="5"/>
      <c r="JIY79" s="5"/>
      <c r="JIZ79" s="5"/>
      <c r="JJA79" s="5"/>
      <c r="JJB79" s="5"/>
      <c r="JJC79" s="5"/>
      <c r="JJD79" s="5"/>
      <c r="JJE79" s="5"/>
      <c r="JJF79" s="5"/>
      <c r="JJG79" s="5"/>
      <c r="JJH79" s="5"/>
      <c r="JJI79" s="5"/>
      <c r="JJJ79" s="5"/>
      <c r="JJK79" s="5"/>
      <c r="JJL79" s="5"/>
      <c r="JJM79" s="5"/>
      <c r="JJN79" s="5"/>
      <c r="JJO79" s="5"/>
      <c r="JJP79" s="5"/>
      <c r="JJQ79" s="5"/>
      <c r="JJR79" s="5"/>
      <c r="JJS79" s="5"/>
      <c r="JJT79" s="5"/>
      <c r="JJU79" s="5"/>
      <c r="JJV79" s="5"/>
      <c r="JJW79" s="5"/>
      <c r="JJX79" s="5"/>
      <c r="JJY79" s="5"/>
      <c r="JJZ79" s="5"/>
      <c r="JKA79" s="5"/>
      <c r="JKB79" s="5"/>
      <c r="JKC79" s="5"/>
      <c r="JKD79" s="5"/>
      <c r="JKE79" s="5"/>
      <c r="JKF79" s="5"/>
      <c r="JKG79" s="5"/>
      <c r="JKH79" s="5"/>
      <c r="JKI79" s="5"/>
      <c r="JKJ79" s="5"/>
      <c r="JKK79" s="5"/>
      <c r="JKL79" s="5"/>
      <c r="JKM79" s="5"/>
      <c r="JKN79" s="5"/>
      <c r="JKO79" s="5"/>
      <c r="JKP79" s="5"/>
      <c r="JKQ79" s="5"/>
      <c r="JKR79" s="5"/>
      <c r="JKS79" s="5"/>
      <c r="JKT79" s="5"/>
      <c r="JKU79" s="5"/>
      <c r="JKV79" s="5"/>
      <c r="JKW79" s="5"/>
      <c r="JKX79" s="5"/>
      <c r="JKY79" s="5"/>
      <c r="JKZ79" s="5"/>
      <c r="JLA79" s="5"/>
      <c r="JLB79" s="5"/>
      <c r="JLC79" s="5"/>
      <c r="JLD79" s="5"/>
      <c r="JLE79" s="5"/>
      <c r="JLF79" s="5"/>
      <c r="JLG79" s="5"/>
      <c r="JLH79" s="5"/>
      <c r="JLI79" s="5"/>
      <c r="JLJ79" s="5"/>
      <c r="JLK79" s="5"/>
      <c r="JLL79" s="5"/>
      <c r="JLM79" s="5"/>
      <c r="JLN79" s="5"/>
      <c r="JLO79" s="5"/>
      <c r="JLP79" s="5"/>
      <c r="JLQ79" s="5"/>
      <c r="JLR79" s="5"/>
      <c r="JLS79" s="5"/>
      <c r="JLT79" s="5"/>
      <c r="JLU79" s="5"/>
      <c r="JLV79" s="5"/>
      <c r="JLW79" s="5"/>
      <c r="JLX79" s="5"/>
      <c r="JLY79" s="5"/>
      <c r="JLZ79" s="5"/>
      <c r="JMA79" s="5"/>
      <c r="JMB79" s="5"/>
      <c r="JMC79" s="5"/>
      <c r="JMD79" s="5"/>
      <c r="JME79" s="5"/>
      <c r="JMF79" s="5"/>
      <c r="JMG79" s="5"/>
      <c r="JMH79" s="5"/>
      <c r="JMI79" s="5"/>
      <c r="JMJ79" s="5"/>
      <c r="JMK79" s="5"/>
      <c r="JML79" s="5"/>
      <c r="JMM79" s="5"/>
      <c r="JMN79" s="5"/>
      <c r="JMO79" s="5"/>
      <c r="JMP79" s="5"/>
      <c r="JMQ79" s="5"/>
      <c r="JMR79" s="5"/>
      <c r="JMS79" s="5"/>
      <c r="JMT79" s="5"/>
      <c r="JMU79" s="5"/>
      <c r="JMV79" s="5"/>
      <c r="JMW79" s="5"/>
      <c r="JMX79" s="5"/>
      <c r="JMY79" s="5"/>
      <c r="JMZ79" s="5"/>
      <c r="JNA79" s="5"/>
      <c r="JNB79" s="5"/>
      <c r="JNC79" s="5"/>
      <c r="JND79" s="5"/>
      <c r="JNE79" s="5"/>
      <c r="JNF79" s="5"/>
      <c r="JNG79" s="5"/>
      <c r="JNH79" s="5"/>
      <c r="JNI79" s="5"/>
      <c r="JNJ79" s="5"/>
      <c r="JNK79" s="5"/>
      <c r="JNL79" s="5"/>
      <c r="JNM79" s="5"/>
      <c r="JNN79" s="5"/>
      <c r="JNO79" s="5"/>
      <c r="JNP79" s="5"/>
      <c r="JNQ79" s="5"/>
      <c r="JNR79" s="5"/>
      <c r="JNS79" s="5"/>
      <c r="JNT79" s="5"/>
      <c r="JNU79" s="5"/>
      <c r="JNV79" s="5"/>
      <c r="JNW79" s="5"/>
      <c r="JNX79" s="5"/>
      <c r="JNY79" s="5"/>
      <c r="JNZ79" s="5"/>
      <c r="JOA79" s="5"/>
      <c r="JOB79" s="5"/>
      <c r="JOC79" s="5"/>
      <c r="JOD79" s="5"/>
      <c r="JOE79" s="5"/>
      <c r="JOF79" s="5"/>
      <c r="JOG79" s="5"/>
      <c r="JOH79" s="5"/>
      <c r="JOI79" s="5"/>
      <c r="JOJ79" s="5"/>
      <c r="JOK79" s="5"/>
      <c r="JOL79" s="5"/>
      <c r="JOM79" s="5"/>
      <c r="JON79" s="5"/>
      <c r="JOO79" s="5"/>
      <c r="JOP79" s="5"/>
      <c r="JOQ79" s="5"/>
      <c r="JOR79" s="5"/>
      <c r="JOS79" s="5"/>
      <c r="JOT79" s="5"/>
      <c r="JOU79" s="5"/>
      <c r="JOV79" s="5"/>
      <c r="JOW79" s="5"/>
      <c r="JOX79" s="5"/>
      <c r="JOY79" s="5"/>
      <c r="JOZ79" s="5"/>
      <c r="JPA79" s="5"/>
      <c r="JPB79" s="5"/>
      <c r="JPC79" s="5"/>
      <c r="JPD79" s="5"/>
      <c r="JPE79" s="5"/>
      <c r="JPF79" s="5"/>
      <c r="JPG79" s="5"/>
      <c r="JPH79" s="5"/>
      <c r="JPI79" s="5"/>
      <c r="JPJ79" s="5"/>
      <c r="JPK79" s="5"/>
      <c r="JPL79" s="5"/>
      <c r="JPM79" s="5"/>
      <c r="JPN79" s="5"/>
      <c r="JPO79" s="5"/>
      <c r="JPP79" s="5"/>
      <c r="JPQ79" s="5"/>
      <c r="JPR79" s="5"/>
      <c r="JPS79" s="5"/>
      <c r="JPT79" s="5"/>
      <c r="JPU79" s="5"/>
      <c r="JPV79" s="5"/>
      <c r="JPW79" s="5"/>
      <c r="JPX79" s="5"/>
      <c r="JPY79" s="5"/>
      <c r="JPZ79" s="5"/>
      <c r="JQA79" s="5"/>
      <c r="JQB79" s="5"/>
      <c r="JQC79" s="5"/>
      <c r="JQD79" s="5"/>
      <c r="JQE79" s="5"/>
      <c r="JQF79" s="5"/>
      <c r="JQG79" s="5"/>
      <c r="JQH79" s="5"/>
      <c r="JQI79" s="5"/>
      <c r="JQJ79" s="5"/>
      <c r="JQK79" s="5"/>
      <c r="JQL79" s="5"/>
      <c r="JQM79" s="5"/>
      <c r="JQN79" s="5"/>
      <c r="JQO79" s="5"/>
      <c r="JQP79" s="5"/>
      <c r="JQQ79" s="5"/>
      <c r="JQR79" s="5"/>
      <c r="JQS79" s="5"/>
      <c r="JQT79" s="5"/>
      <c r="JQU79" s="5"/>
      <c r="JQV79" s="5"/>
      <c r="JQW79" s="5"/>
      <c r="JQX79" s="5"/>
      <c r="JQY79" s="5"/>
      <c r="JQZ79" s="5"/>
      <c r="JRA79" s="5"/>
      <c r="JRB79" s="5"/>
      <c r="JRC79" s="5"/>
      <c r="JRD79" s="5"/>
      <c r="JRE79" s="5"/>
      <c r="JRF79" s="5"/>
      <c r="JRG79" s="5"/>
      <c r="JRH79" s="5"/>
      <c r="JRI79" s="5"/>
      <c r="JRJ79" s="5"/>
      <c r="JRK79" s="5"/>
      <c r="JRL79" s="5"/>
      <c r="JRM79" s="5"/>
      <c r="JRN79" s="5"/>
      <c r="JRO79" s="5"/>
      <c r="JRP79" s="5"/>
      <c r="JRQ79" s="5"/>
      <c r="JRR79" s="5"/>
      <c r="JRS79" s="5"/>
      <c r="JRT79" s="5"/>
      <c r="JRU79" s="5"/>
      <c r="JRV79" s="5"/>
      <c r="JRW79" s="5"/>
      <c r="JRX79" s="5"/>
      <c r="JRY79" s="5"/>
      <c r="JRZ79" s="5"/>
      <c r="JSA79" s="5"/>
      <c r="JSB79" s="5"/>
      <c r="JSC79" s="5"/>
      <c r="JSD79" s="5"/>
      <c r="JSE79" s="5"/>
      <c r="JSF79" s="5"/>
      <c r="JSG79" s="5"/>
      <c r="JSH79" s="5"/>
      <c r="JSI79" s="5"/>
      <c r="JSJ79" s="5"/>
      <c r="JSK79" s="5"/>
      <c r="JSL79" s="5"/>
      <c r="JSM79" s="5"/>
      <c r="JSN79" s="5"/>
      <c r="JSO79" s="5"/>
      <c r="JSP79" s="5"/>
      <c r="JSQ79" s="5"/>
      <c r="JSR79" s="5"/>
      <c r="JSS79" s="5"/>
      <c r="JST79" s="5"/>
      <c r="JSU79" s="5"/>
      <c r="JSV79" s="5"/>
      <c r="JSW79" s="5"/>
      <c r="JSX79" s="5"/>
      <c r="JSY79" s="5"/>
      <c r="JSZ79" s="5"/>
      <c r="JTA79" s="5"/>
      <c r="JTB79" s="5"/>
      <c r="JTC79" s="5"/>
      <c r="JTD79" s="5"/>
      <c r="JTE79" s="5"/>
      <c r="JTF79" s="5"/>
      <c r="JTG79" s="5"/>
      <c r="JTH79" s="5"/>
      <c r="JTI79" s="5"/>
      <c r="JTJ79" s="5"/>
      <c r="JTK79" s="5"/>
      <c r="JTL79" s="5"/>
      <c r="JTM79" s="5"/>
      <c r="JTN79" s="5"/>
      <c r="JTO79" s="5"/>
      <c r="JTP79" s="5"/>
      <c r="JTQ79" s="5"/>
      <c r="JTR79" s="5"/>
      <c r="JTS79" s="5"/>
      <c r="JTT79" s="5"/>
      <c r="JTU79" s="5"/>
      <c r="JTV79" s="5"/>
      <c r="JTW79" s="5"/>
      <c r="JTX79" s="5"/>
      <c r="JTY79" s="5"/>
      <c r="JTZ79" s="5"/>
      <c r="JUA79" s="5"/>
      <c r="JUB79" s="5"/>
      <c r="JUC79" s="5"/>
      <c r="JUD79" s="5"/>
      <c r="JUE79" s="5"/>
      <c r="JUF79" s="5"/>
      <c r="JUG79" s="5"/>
      <c r="JUH79" s="5"/>
      <c r="JUI79" s="5"/>
      <c r="JUJ79" s="5"/>
      <c r="JUK79" s="5"/>
      <c r="JUL79" s="5"/>
      <c r="JUM79" s="5"/>
      <c r="JUN79" s="5"/>
      <c r="JUO79" s="5"/>
      <c r="JUP79" s="5"/>
      <c r="JUQ79" s="5"/>
      <c r="JUR79" s="5"/>
      <c r="JUS79" s="5"/>
      <c r="JUT79" s="5"/>
      <c r="JUU79" s="5"/>
      <c r="JUV79" s="5"/>
      <c r="JUW79" s="5"/>
      <c r="JUX79" s="5"/>
      <c r="JUY79" s="5"/>
      <c r="JUZ79" s="5"/>
      <c r="JVA79" s="5"/>
      <c r="JVB79" s="5"/>
      <c r="JVC79" s="5"/>
      <c r="JVD79" s="5"/>
      <c r="JVE79" s="5"/>
      <c r="JVF79" s="5"/>
      <c r="JVG79" s="5"/>
      <c r="JVH79" s="5"/>
      <c r="JVI79" s="5"/>
      <c r="JVJ79" s="5"/>
      <c r="JVK79" s="5"/>
      <c r="JVL79" s="5"/>
      <c r="JVM79" s="5"/>
      <c r="JVN79" s="5"/>
      <c r="JVO79" s="5"/>
      <c r="JVP79" s="5"/>
      <c r="JVQ79" s="5"/>
      <c r="JVR79" s="5"/>
      <c r="JVS79" s="5"/>
      <c r="JVT79" s="5"/>
      <c r="JVU79" s="5"/>
      <c r="JVV79" s="5"/>
      <c r="JVW79" s="5"/>
      <c r="JVX79" s="5"/>
      <c r="JVY79" s="5"/>
      <c r="JVZ79" s="5"/>
      <c r="JWA79" s="5"/>
      <c r="JWB79" s="5"/>
      <c r="JWC79" s="5"/>
      <c r="JWD79" s="5"/>
      <c r="JWE79" s="5"/>
      <c r="JWF79" s="5"/>
      <c r="JWG79" s="5"/>
      <c r="JWH79" s="5"/>
      <c r="JWI79" s="5"/>
      <c r="JWJ79" s="5"/>
      <c r="JWK79" s="5"/>
      <c r="JWL79" s="5"/>
      <c r="JWM79" s="5"/>
      <c r="JWN79" s="5"/>
      <c r="JWO79" s="5"/>
      <c r="JWP79" s="5"/>
      <c r="JWQ79" s="5"/>
      <c r="JWR79" s="5"/>
      <c r="JWS79" s="5"/>
      <c r="JWT79" s="5"/>
      <c r="JWU79" s="5"/>
      <c r="JWV79" s="5"/>
      <c r="JWW79" s="5"/>
      <c r="JWX79" s="5"/>
      <c r="JWY79" s="5"/>
      <c r="JWZ79" s="5"/>
      <c r="JXA79" s="5"/>
      <c r="JXB79" s="5"/>
      <c r="JXC79" s="5"/>
      <c r="JXD79" s="5"/>
      <c r="JXE79" s="5"/>
      <c r="JXF79" s="5"/>
      <c r="JXG79" s="5"/>
      <c r="JXH79" s="5"/>
      <c r="JXI79" s="5"/>
      <c r="JXJ79" s="5"/>
      <c r="JXK79" s="5"/>
      <c r="JXL79" s="5"/>
      <c r="JXM79" s="5"/>
      <c r="JXN79" s="5"/>
      <c r="JXO79" s="5"/>
      <c r="JXP79" s="5"/>
      <c r="JXQ79" s="5"/>
      <c r="JXR79" s="5"/>
      <c r="JXS79" s="5"/>
      <c r="JXT79" s="5"/>
      <c r="JXU79" s="5"/>
      <c r="JXV79" s="5"/>
      <c r="JXW79" s="5"/>
      <c r="JXX79" s="5"/>
      <c r="JXY79" s="5"/>
      <c r="JXZ79" s="5"/>
      <c r="JYA79" s="5"/>
      <c r="JYB79" s="5"/>
      <c r="JYC79" s="5"/>
      <c r="JYD79" s="5"/>
      <c r="JYE79" s="5"/>
      <c r="JYF79" s="5"/>
      <c r="JYG79" s="5"/>
      <c r="JYH79" s="5"/>
      <c r="JYI79" s="5"/>
      <c r="JYJ79" s="5"/>
      <c r="JYK79" s="5"/>
      <c r="JYL79" s="5"/>
      <c r="JYM79" s="5"/>
      <c r="JYN79" s="5"/>
      <c r="JYO79" s="5"/>
      <c r="JYP79" s="5"/>
      <c r="JYQ79" s="5"/>
      <c r="JYR79" s="5"/>
      <c r="JYS79" s="5"/>
      <c r="JYT79" s="5"/>
      <c r="JYU79" s="5"/>
      <c r="JYV79" s="5"/>
      <c r="JYW79" s="5"/>
      <c r="JYX79" s="5"/>
      <c r="JYY79" s="5"/>
      <c r="JYZ79" s="5"/>
      <c r="JZA79" s="5"/>
      <c r="JZB79" s="5"/>
      <c r="JZC79" s="5"/>
      <c r="JZD79" s="5"/>
      <c r="JZE79" s="5"/>
      <c r="JZF79" s="5"/>
      <c r="JZG79" s="5"/>
      <c r="JZH79" s="5"/>
      <c r="JZI79" s="5"/>
      <c r="JZJ79" s="5"/>
      <c r="JZK79" s="5"/>
      <c r="JZL79" s="5"/>
      <c r="JZM79" s="5"/>
      <c r="JZN79" s="5"/>
      <c r="JZO79" s="5"/>
      <c r="JZP79" s="5"/>
      <c r="JZQ79" s="5"/>
      <c r="JZR79" s="5"/>
      <c r="JZS79" s="5"/>
      <c r="JZT79" s="5"/>
      <c r="JZU79" s="5"/>
      <c r="JZV79" s="5"/>
      <c r="JZW79" s="5"/>
      <c r="JZX79" s="5"/>
      <c r="JZY79" s="5"/>
      <c r="JZZ79" s="5"/>
      <c r="KAA79" s="5"/>
      <c r="KAB79" s="5"/>
      <c r="KAC79" s="5"/>
      <c r="KAD79" s="5"/>
      <c r="KAE79" s="5"/>
      <c r="KAF79" s="5"/>
      <c r="KAG79" s="5"/>
      <c r="KAH79" s="5"/>
      <c r="KAI79" s="5"/>
      <c r="KAJ79" s="5"/>
      <c r="KAK79" s="5"/>
      <c r="KAL79" s="5"/>
      <c r="KAM79" s="5"/>
      <c r="KAN79" s="5"/>
      <c r="KAO79" s="5"/>
      <c r="KAP79" s="5"/>
      <c r="KAQ79" s="5"/>
      <c r="KAR79" s="5"/>
      <c r="KAS79" s="5"/>
      <c r="KAT79" s="5"/>
      <c r="KAU79" s="5"/>
      <c r="KAV79" s="5"/>
      <c r="KAW79" s="5"/>
      <c r="KAX79" s="5"/>
      <c r="KAY79" s="5"/>
      <c r="KAZ79" s="5"/>
      <c r="KBA79" s="5"/>
      <c r="KBB79" s="5"/>
      <c r="KBC79" s="5"/>
      <c r="KBD79" s="5"/>
      <c r="KBE79" s="5"/>
      <c r="KBF79" s="5"/>
      <c r="KBG79" s="5"/>
      <c r="KBH79" s="5"/>
      <c r="KBI79" s="5"/>
      <c r="KBJ79" s="5"/>
      <c r="KBK79" s="5"/>
      <c r="KBL79" s="5"/>
      <c r="KBM79" s="5"/>
      <c r="KBN79" s="5"/>
      <c r="KBO79" s="5"/>
      <c r="KBP79" s="5"/>
      <c r="KBQ79" s="5"/>
      <c r="KBR79" s="5"/>
      <c r="KBS79" s="5"/>
      <c r="KBT79" s="5"/>
      <c r="KBU79" s="5"/>
      <c r="KBV79" s="5"/>
      <c r="KBW79" s="5"/>
      <c r="KBX79" s="5"/>
      <c r="KBY79" s="5"/>
      <c r="KBZ79" s="5"/>
      <c r="KCA79" s="5"/>
      <c r="KCB79" s="5"/>
      <c r="KCC79" s="5"/>
      <c r="KCD79" s="5"/>
      <c r="KCE79" s="5"/>
      <c r="KCF79" s="5"/>
      <c r="KCG79" s="5"/>
      <c r="KCH79" s="5"/>
      <c r="KCI79" s="5"/>
      <c r="KCJ79" s="5"/>
      <c r="KCK79" s="5"/>
      <c r="KCL79" s="5"/>
      <c r="KCM79" s="5"/>
      <c r="KCN79" s="5"/>
      <c r="KCO79" s="5"/>
      <c r="KCP79" s="5"/>
      <c r="KCQ79" s="5"/>
      <c r="KCR79" s="5"/>
      <c r="KCS79" s="5"/>
      <c r="KCT79" s="5"/>
      <c r="KCU79" s="5"/>
      <c r="KCV79" s="5"/>
      <c r="KCW79" s="5"/>
      <c r="KCX79" s="5"/>
      <c r="KCY79" s="5"/>
      <c r="KCZ79" s="5"/>
      <c r="KDA79" s="5"/>
      <c r="KDB79" s="5"/>
      <c r="KDC79" s="5"/>
      <c r="KDD79" s="5"/>
      <c r="KDE79" s="5"/>
      <c r="KDF79" s="5"/>
      <c r="KDG79" s="5"/>
      <c r="KDH79" s="5"/>
      <c r="KDI79" s="5"/>
      <c r="KDJ79" s="5"/>
      <c r="KDK79" s="5"/>
      <c r="KDL79" s="5"/>
      <c r="KDM79" s="5"/>
      <c r="KDN79" s="5"/>
      <c r="KDO79" s="5"/>
      <c r="KDP79" s="5"/>
      <c r="KDQ79" s="5"/>
      <c r="KDR79" s="5"/>
      <c r="KDS79" s="5"/>
      <c r="KDT79" s="5"/>
      <c r="KDU79" s="5"/>
      <c r="KDV79" s="5"/>
      <c r="KDW79" s="5"/>
      <c r="KDX79" s="5"/>
      <c r="KDY79" s="5"/>
      <c r="KDZ79" s="5"/>
      <c r="KEA79" s="5"/>
      <c r="KEB79" s="5"/>
      <c r="KEC79" s="5"/>
      <c r="KED79" s="5"/>
      <c r="KEE79" s="5"/>
      <c r="KEF79" s="5"/>
      <c r="KEG79" s="5"/>
      <c r="KEH79" s="5"/>
      <c r="KEI79" s="5"/>
      <c r="KEJ79" s="5"/>
      <c r="KEK79" s="5"/>
      <c r="KEL79" s="5"/>
      <c r="KEM79" s="5"/>
      <c r="KEN79" s="5"/>
      <c r="KEO79" s="5"/>
      <c r="KEP79" s="5"/>
      <c r="KEQ79" s="5"/>
      <c r="KER79" s="5"/>
      <c r="KES79" s="5"/>
      <c r="KET79" s="5"/>
      <c r="KEU79" s="5"/>
      <c r="KEV79" s="5"/>
      <c r="KEW79" s="5"/>
      <c r="KEX79" s="5"/>
      <c r="KEY79" s="5"/>
      <c r="KEZ79" s="5"/>
      <c r="KFA79" s="5"/>
      <c r="KFB79" s="5"/>
      <c r="KFC79" s="5"/>
      <c r="KFD79" s="5"/>
      <c r="KFE79" s="5"/>
      <c r="KFF79" s="5"/>
      <c r="KFG79" s="5"/>
      <c r="KFH79" s="5"/>
      <c r="KFI79" s="5"/>
      <c r="KFJ79" s="5"/>
      <c r="KFK79" s="5"/>
      <c r="KFL79" s="5"/>
      <c r="KFM79" s="5"/>
      <c r="KFN79" s="5"/>
      <c r="KFO79" s="5"/>
      <c r="KFP79" s="5"/>
      <c r="KFQ79" s="5"/>
      <c r="KFR79" s="5"/>
      <c r="KFS79" s="5"/>
      <c r="KFT79" s="5"/>
      <c r="KFU79" s="5"/>
      <c r="KFV79" s="5"/>
      <c r="KFW79" s="5"/>
      <c r="KFX79" s="5"/>
      <c r="KFY79" s="5"/>
      <c r="KFZ79" s="5"/>
      <c r="KGA79" s="5"/>
      <c r="KGB79" s="5"/>
      <c r="KGC79" s="5"/>
      <c r="KGD79" s="5"/>
      <c r="KGE79" s="5"/>
      <c r="KGF79" s="5"/>
      <c r="KGG79" s="5"/>
      <c r="KGH79" s="5"/>
      <c r="KGI79" s="5"/>
      <c r="KGJ79" s="5"/>
      <c r="KGK79" s="5"/>
      <c r="KGL79" s="5"/>
      <c r="KGM79" s="5"/>
      <c r="KGN79" s="5"/>
      <c r="KGO79" s="5"/>
      <c r="KGP79" s="5"/>
      <c r="KGQ79" s="5"/>
      <c r="KGR79" s="5"/>
      <c r="KGS79" s="5"/>
      <c r="KGT79" s="5"/>
      <c r="KGU79" s="5"/>
      <c r="KGV79" s="5"/>
      <c r="KGW79" s="5"/>
      <c r="KGX79" s="5"/>
      <c r="KGY79" s="5"/>
      <c r="KGZ79" s="5"/>
      <c r="KHA79" s="5"/>
      <c r="KHB79" s="5"/>
      <c r="KHC79" s="5"/>
      <c r="KHD79" s="5"/>
      <c r="KHE79" s="5"/>
      <c r="KHF79" s="5"/>
      <c r="KHG79" s="5"/>
      <c r="KHH79" s="5"/>
      <c r="KHI79" s="5"/>
      <c r="KHJ79" s="5"/>
      <c r="KHK79" s="5"/>
      <c r="KHL79" s="5"/>
      <c r="KHM79" s="5"/>
      <c r="KHN79" s="5"/>
      <c r="KHO79" s="5"/>
      <c r="KHP79" s="5"/>
      <c r="KHQ79" s="5"/>
      <c r="KHR79" s="5"/>
      <c r="KHS79" s="5"/>
      <c r="KHT79" s="5"/>
      <c r="KHU79" s="5"/>
      <c r="KHV79" s="5"/>
      <c r="KHW79" s="5"/>
      <c r="KHX79" s="5"/>
      <c r="KHY79" s="5"/>
      <c r="KHZ79" s="5"/>
      <c r="KIA79" s="5"/>
      <c r="KIB79" s="5"/>
      <c r="KIC79" s="5"/>
      <c r="KID79" s="5"/>
      <c r="KIE79" s="5"/>
      <c r="KIF79" s="5"/>
      <c r="KIG79" s="5"/>
      <c r="KIH79" s="5"/>
      <c r="KII79" s="5"/>
      <c r="KIJ79" s="5"/>
      <c r="KIK79" s="5"/>
      <c r="KIL79" s="5"/>
      <c r="KIM79" s="5"/>
      <c r="KIN79" s="5"/>
      <c r="KIO79" s="5"/>
      <c r="KIP79" s="5"/>
      <c r="KIQ79" s="5"/>
      <c r="KIR79" s="5"/>
      <c r="KIS79" s="5"/>
      <c r="KIT79" s="5"/>
      <c r="KIU79" s="5"/>
      <c r="KIV79" s="5"/>
      <c r="KIW79" s="5"/>
      <c r="KIX79" s="5"/>
      <c r="KIY79" s="5"/>
      <c r="KIZ79" s="5"/>
      <c r="KJA79" s="5"/>
      <c r="KJB79" s="5"/>
      <c r="KJC79" s="5"/>
      <c r="KJD79" s="5"/>
      <c r="KJE79" s="5"/>
      <c r="KJF79" s="5"/>
      <c r="KJG79" s="5"/>
      <c r="KJH79" s="5"/>
      <c r="KJI79" s="5"/>
      <c r="KJJ79" s="5"/>
      <c r="KJK79" s="5"/>
      <c r="KJL79" s="5"/>
      <c r="KJM79" s="5"/>
      <c r="KJN79" s="5"/>
      <c r="KJO79" s="5"/>
      <c r="KJP79" s="5"/>
      <c r="KJQ79" s="5"/>
      <c r="KJR79" s="5"/>
      <c r="KJS79" s="5"/>
      <c r="KJT79" s="5"/>
      <c r="KJU79" s="5"/>
      <c r="KJV79" s="5"/>
      <c r="KJW79" s="5"/>
      <c r="KJX79" s="5"/>
      <c r="KJY79" s="5"/>
      <c r="KJZ79" s="5"/>
      <c r="KKA79" s="5"/>
      <c r="KKB79" s="5"/>
      <c r="KKC79" s="5"/>
      <c r="KKD79" s="5"/>
      <c r="KKE79" s="5"/>
      <c r="KKF79" s="5"/>
      <c r="KKG79" s="5"/>
      <c r="KKH79" s="5"/>
      <c r="KKI79" s="5"/>
      <c r="KKJ79" s="5"/>
      <c r="KKK79" s="5"/>
      <c r="KKL79" s="5"/>
      <c r="KKM79" s="5"/>
      <c r="KKN79" s="5"/>
      <c r="KKO79" s="5"/>
      <c r="KKP79" s="5"/>
      <c r="KKQ79" s="5"/>
      <c r="KKR79" s="5"/>
      <c r="KKS79" s="5"/>
      <c r="KKT79" s="5"/>
      <c r="KKU79" s="5"/>
      <c r="KKV79" s="5"/>
      <c r="KKW79" s="5"/>
      <c r="KKX79" s="5"/>
      <c r="KKY79" s="5"/>
      <c r="KKZ79" s="5"/>
      <c r="KLA79" s="5"/>
      <c r="KLB79" s="5"/>
      <c r="KLC79" s="5"/>
      <c r="KLD79" s="5"/>
      <c r="KLE79" s="5"/>
      <c r="KLF79" s="5"/>
      <c r="KLG79" s="5"/>
      <c r="KLH79" s="5"/>
      <c r="KLI79" s="5"/>
      <c r="KLJ79" s="5"/>
      <c r="KLK79" s="5"/>
      <c r="KLL79" s="5"/>
      <c r="KLM79" s="5"/>
      <c r="KLN79" s="5"/>
      <c r="KLO79" s="5"/>
      <c r="KLP79" s="5"/>
      <c r="KLQ79" s="5"/>
      <c r="KLR79" s="5"/>
      <c r="KLS79" s="5"/>
      <c r="KLT79" s="5"/>
      <c r="KLU79" s="5"/>
      <c r="KLV79" s="5"/>
      <c r="KLW79" s="5"/>
      <c r="KLX79" s="5"/>
      <c r="KLY79" s="5"/>
      <c r="KLZ79" s="5"/>
      <c r="KMA79" s="5"/>
      <c r="KMB79" s="5"/>
      <c r="KMC79" s="5"/>
      <c r="KMD79" s="5"/>
      <c r="KME79" s="5"/>
      <c r="KMF79" s="5"/>
      <c r="KMG79" s="5"/>
      <c r="KMH79" s="5"/>
      <c r="KMI79" s="5"/>
      <c r="KMJ79" s="5"/>
      <c r="KMK79" s="5"/>
      <c r="KML79" s="5"/>
      <c r="KMM79" s="5"/>
      <c r="KMN79" s="5"/>
      <c r="KMO79" s="5"/>
      <c r="KMP79" s="5"/>
      <c r="KMQ79" s="5"/>
      <c r="KMR79" s="5"/>
      <c r="KMS79" s="5"/>
      <c r="KMT79" s="5"/>
      <c r="KMU79" s="5"/>
      <c r="KMV79" s="5"/>
      <c r="KMW79" s="5"/>
      <c r="KMX79" s="5"/>
      <c r="KMY79" s="5"/>
      <c r="KMZ79" s="5"/>
      <c r="KNA79" s="5"/>
      <c r="KNB79" s="5"/>
      <c r="KNC79" s="5"/>
      <c r="KND79" s="5"/>
      <c r="KNE79" s="5"/>
      <c r="KNF79" s="5"/>
      <c r="KNG79" s="5"/>
      <c r="KNH79" s="5"/>
      <c r="KNI79" s="5"/>
      <c r="KNJ79" s="5"/>
      <c r="KNK79" s="5"/>
      <c r="KNL79" s="5"/>
      <c r="KNM79" s="5"/>
      <c r="KNN79" s="5"/>
      <c r="KNO79" s="5"/>
      <c r="KNP79" s="5"/>
      <c r="KNQ79" s="5"/>
      <c r="KNR79" s="5"/>
      <c r="KNS79" s="5"/>
      <c r="KNT79" s="5"/>
      <c r="KNU79" s="5"/>
      <c r="KNV79" s="5"/>
      <c r="KNW79" s="5"/>
      <c r="KNX79" s="5"/>
      <c r="KNY79" s="5"/>
      <c r="KNZ79" s="5"/>
      <c r="KOA79" s="5"/>
      <c r="KOB79" s="5"/>
      <c r="KOC79" s="5"/>
      <c r="KOD79" s="5"/>
      <c r="KOE79" s="5"/>
      <c r="KOF79" s="5"/>
      <c r="KOG79" s="5"/>
      <c r="KOH79" s="5"/>
      <c r="KOI79" s="5"/>
      <c r="KOJ79" s="5"/>
      <c r="KOK79" s="5"/>
      <c r="KOL79" s="5"/>
      <c r="KOM79" s="5"/>
      <c r="KON79" s="5"/>
      <c r="KOO79" s="5"/>
      <c r="KOP79" s="5"/>
      <c r="KOQ79" s="5"/>
      <c r="KOR79" s="5"/>
      <c r="KOS79" s="5"/>
      <c r="KOT79" s="5"/>
      <c r="KOU79" s="5"/>
      <c r="KOV79" s="5"/>
      <c r="KOW79" s="5"/>
      <c r="KOX79" s="5"/>
      <c r="KOY79" s="5"/>
      <c r="KOZ79" s="5"/>
      <c r="KPA79" s="5"/>
      <c r="KPB79" s="5"/>
      <c r="KPC79" s="5"/>
      <c r="KPD79" s="5"/>
      <c r="KPE79" s="5"/>
      <c r="KPF79" s="5"/>
      <c r="KPG79" s="5"/>
      <c r="KPH79" s="5"/>
      <c r="KPI79" s="5"/>
      <c r="KPJ79" s="5"/>
      <c r="KPK79" s="5"/>
      <c r="KPL79" s="5"/>
      <c r="KPM79" s="5"/>
      <c r="KPN79" s="5"/>
      <c r="KPO79" s="5"/>
      <c r="KPP79" s="5"/>
      <c r="KPQ79" s="5"/>
      <c r="KPR79" s="5"/>
      <c r="KPS79" s="5"/>
      <c r="KPT79" s="5"/>
      <c r="KPU79" s="5"/>
      <c r="KPV79" s="5"/>
      <c r="KPW79" s="5"/>
      <c r="KPX79" s="5"/>
      <c r="KPY79" s="5"/>
      <c r="KPZ79" s="5"/>
      <c r="KQA79" s="5"/>
      <c r="KQB79" s="5"/>
      <c r="KQC79" s="5"/>
      <c r="KQD79" s="5"/>
      <c r="KQE79" s="5"/>
      <c r="KQF79" s="5"/>
      <c r="KQG79" s="5"/>
      <c r="KQH79" s="5"/>
      <c r="KQI79" s="5"/>
      <c r="KQJ79" s="5"/>
      <c r="KQK79" s="5"/>
      <c r="KQL79" s="5"/>
      <c r="KQM79" s="5"/>
      <c r="KQN79" s="5"/>
      <c r="KQO79" s="5"/>
      <c r="KQP79" s="5"/>
      <c r="KQQ79" s="5"/>
      <c r="KQR79" s="5"/>
      <c r="KQS79" s="5"/>
      <c r="KQT79" s="5"/>
      <c r="KQU79" s="5"/>
      <c r="KQV79" s="5"/>
      <c r="KQW79" s="5"/>
      <c r="KQX79" s="5"/>
      <c r="KQY79" s="5"/>
      <c r="KQZ79" s="5"/>
      <c r="KRA79" s="5"/>
      <c r="KRB79" s="5"/>
      <c r="KRC79" s="5"/>
      <c r="KRD79" s="5"/>
      <c r="KRE79" s="5"/>
      <c r="KRF79" s="5"/>
      <c r="KRG79" s="5"/>
      <c r="KRH79" s="5"/>
      <c r="KRI79" s="5"/>
      <c r="KRJ79" s="5"/>
      <c r="KRK79" s="5"/>
      <c r="KRL79" s="5"/>
      <c r="KRM79" s="5"/>
      <c r="KRN79" s="5"/>
      <c r="KRO79" s="5"/>
      <c r="KRP79" s="5"/>
      <c r="KRQ79" s="5"/>
      <c r="KRR79" s="5"/>
      <c r="KRS79" s="5"/>
      <c r="KRT79" s="5"/>
      <c r="KRU79" s="5"/>
      <c r="KRV79" s="5"/>
      <c r="KRW79" s="5"/>
      <c r="KRX79" s="5"/>
      <c r="KRY79" s="5"/>
      <c r="KRZ79" s="5"/>
      <c r="KSA79" s="5"/>
      <c r="KSB79" s="5"/>
      <c r="KSC79" s="5"/>
      <c r="KSD79" s="5"/>
      <c r="KSE79" s="5"/>
      <c r="KSF79" s="5"/>
      <c r="KSG79" s="5"/>
      <c r="KSH79" s="5"/>
      <c r="KSI79" s="5"/>
      <c r="KSJ79" s="5"/>
      <c r="KSK79" s="5"/>
      <c r="KSL79" s="5"/>
      <c r="KSM79" s="5"/>
      <c r="KSN79" s="5"/>
      <c r="KSO79" s="5"/>
      <c r="KSP79" s="5"/>
      <c r="KSQ79" s="5"/>
      <c r="KSR79" s="5"/>
      <c r="KSS79" s="5"/>
      <c r="KST79" s="5"/>
      <c r="KSU79" s="5"/>
      <c r="KSV79" s="5"/>
      <c r="KSW79" s="5"/>
      <c r="KSX79" s="5"/>
      <c r="KSY79" s="5"/>
      <c r="KSZ79" s="5"/>
      <c r="KTA79" s="5"/>
      <c r="KTB79" s="5"/>
      <c r="KTC79" s="5"/>
      <c r="KTD79" s="5"/>
      <c r="KTE79" s="5"/>
      <c r="KTF79" s="5"/>
      <c r="KTG79" s="5"/>
      <c r="KTH79" s="5"/>
      <c r="KTI79" s="5"/>
      <c r="KTJ79" s="5"/>
      <c r="KTK79" s="5"/>
      <c r="KTL79" s="5"/>
      <c r="KTM79" s="5"/>
      <c r="KTN79" s="5"/>
      <c r="KTO79" s="5"/>
      <c r="KTP79" s="5"/>
      <c r="KTQ79" s="5"/>
      <c r="KTR79" s="5"/>
      <c r="KTS79" s="5"/>
      <c r="KTT79" s="5"/>
      <c r="KTU79" s="5"/>
      <c r="KTV79" s="5"/>
      <c r="KTW79" s="5"/>
      <c r="KTX79" s="5"/>
      <c r="KTY79" s="5"/>
      <c r="KTZ79" s="5"/>
      <c r="KUA79" s="5"/>
      <c r="KUB79" s="5"/>
      <c r="KUC79" s="5"/>
      <c r="KUD79" s="5"/>
      <c r="KUE79" s="5"/>
      <c r="KUF79" s="5"/>
      <c r="KUG79" s="5"/>
      <c r="KUH79" s="5"/>
      <c r="KUI79" s="5"/>
      <c r="KUJ79" s="5"/>
      <c r="KUK79" s="5"/>
      <c r="KUL79" s="5"/>
      <c r="KUM79" s="5"/>
      <c r="KUN79" s="5"/>
      <c r="KUO79" s="5"/>
      <c r="KUP79" s="5"/>
      <c r="KUQ79" s="5"/>
      <c r="KUR79" s="5"/>
      <c r="KUS79" s="5"/>
      <c r="KUT79" s="5"/>
      <c r="KUU79" s="5"/>
      <c r="KUV79" s="5"/>
      <c r="KUW79" s="5"/>
      <c r="KUX79" s="5"/>
      <c r="KUY79" s="5"/>
      <c r="KUZ79" s="5"/>
      <c r="KVA79" s="5"/>
      <c r="KVB79" s="5"/>
      <c r="KVC79" s="5"/>
      <c r="KVD79" s="5"/>
      <c r="KVE79" s="5"/>
      <c r="KVF79" s="5"/>
      <c r="KVG79" s="5"/>
      <c r="KVH79" s="5"/>
      <c r="KVI79" s="5"/>
      <c r="KVJ79" s="5"/>
      <c r="KVK79" s="5"/>
      <c r="KVL79" s="5"/>
      <c r="KVM79" s="5"/>
      <c r="KVN79" s="5"/>
      <c r="KVO79" s="5"/>
      <c r="KVP79" s="5"/>
      <c r="KVQ79" s="5"/>
      <c r="KVR79" s="5"/>
      <c r="KVS79" s="5"/>
      <c r="KVT79" s="5"/>
      <c r="KVU79" s="5"/>
      <c r="KVV79" s="5"/>
      <c r="KVW79" s="5"/>
      <c r="KVX79" s="5"/>
      <c r="KVY79" s="5"/>
      <c r="KVZ79" s="5"/>
      <c r="KWA79" s="5"/>
      <c r="KWB79" s="5"/>
      <c r="KWC79" s="5"/>
      <c r="KWD79" s="5"/>
      <c r="KWE79" s="5"/>
      <c r="KWF79" s="5"/>
      <c r="KWG79" s="5"/>
      <c r="KWH79" s="5"/>
      <c r="KWI79" s="5"/>
      <c r="KWJ79" s="5"/>
      <c r="KWK79" s="5"/>
      <c r="KWL79" s="5"/>
      <c r="KWM79" s="5"/>
      <c r="KWN79" s="5"/>
      <c r="KWO79" s="5"/>
      <c r="KWP79" s="5"/>
      <c r="KWQ79" s="5"/>
      <c r="KWR79" s="5"/>
      <c r="KWS79" s="5"/>
      <c r="KWT79" s="5"/>
      <c r="KWU79" s="5"/>
      <c r="KWV79" s="5"/>
      <c r="KWW79" s="5"/>
      <c r="KWX79" s="5"/>
      <c r="KWY79" s="5"/>
      <c r="KWZ79" s="5"/>
      <c r="KXA79" s="5"/>
      <c r="KXB79" s="5"/>
      <c r="KXC79" s="5"/>
      <c r="KXD79" s="5"/>
      <c r="KXE79" s="5"/>
      <c r="KXF79" s="5"/>
      <c r="KXG79" s="5"/>
      <c r="KXH79" s="5"/>
      <c r="KXI79" s="5"/>
      <c r="KXJ79" s="5"/>
      <c r="KXK79" s="5"/>
      <c r="KXL79" s="5"/>
      <c r="KXM79" s="5"/>
      <c r="KXN79" s="5"/>
      <c r="KXO79" s="5"/>
      <c r="KXP79" s="5"/>
      <c r="KXQ79" s="5"/>
      <c r="KXR79" s="5"/>
      <c r="KXS79" s="5"/>
      <c r="KXT79" s="5"/>
      <c r="KXU79" s="5"/>
      <c r="KXV79" s="5"/>
      <c r="KXW79" s="5"/>
      <c r="KXX79" s="5"/>
      <c r="KXY79" s="5"/>
      <c r="KXZ79" s="5"/>
      <c r="KYA79" s="5"/>
      <c r="KYB79" s="5"/>
      <c r="KYC79" s="5"/>
      <c r="KYD79" s="5"/>
      <c r="KYE79" s="5"/>
      <c r="KYF79" s="5"/>
      <c r="KYG79" s="5"/>
      <c r="KYH79" s="5"/>
      <c r="KYI79" s="5"/>
      <c r="KYJ79" s="5"/>
      <c r="KYK79" s="5"/>
      <c r="KYL79" s="5"/>
      <c r="KYM79" s="5"/>
      <c r="KYN79" s="5"/>
      <c r="KYO79" s="5"/>
      <c r="KYP79" s="5"/>
      <c r="KYQ79" s="5"/>
      <c r="KYR79" s="5"/>
      <c r="KYS79" s="5"/>
      <c r="KYT79" s="5"/>
      <c r="KYU79" s="5"/>
      <c r="KYV79" s="5"/>
      <c r="KYW79" s="5"/>
      <c r="KYX79" s="5"/>
      <c r="KYY79" s="5"/>
      <c r="KYZ79" s="5"/>
      <c r="KZA79" s="5"/>
      <c r="KZB79" s="5"/>
      <c r="KZC79" s="5"/>
      <c r="KZD79" s="5"/>
      <c r="KZE79" s="5"/>
      <c r="KZF79" s="5"/>
      <c r="KZG79" s="5"/>
      <c r="KZH79" s="5"/>
      <c r="KZI79" s="5"/>
      <c r="KZJ79" s="5"/>
      <c r="KZK79" s="5"/>
      <c r="KZL79" s="5"/>
      <c r="KZM79" s="5"/>
      <c r="KZN79" s="5"/>
      <c r="KZO79" s="5"/>
      <c r="KZP79" s="5"/>
      <c r="KZQ79" s="5"/>
      <c r="KZR79" s="5"/>
      <c r="KZS79" s="5"/>
      <c r="KZT79" s="5"/>
      <c r="KZU79" s="5"/>
      <c r="KZV79" s="5"/>
      <c r="KZW79" s="5"/>
      <c r="KZX79" s="5"/>
      <c r="KZY79" s="5"/>
      <c r="KZZ79" s="5"/>
      <c r="LAA79" s="5"/>
      <c r="LAB79" s="5"/>
      <c r="LAC79" s="5"/>
      <c r="LAD79" s="5"/>
      <c r="LAE79" s="5"/>
      <c r="LAF79" s="5"/>
      <c r="LAG79" s="5"/>
      <c r="LAH79" s="5"/>
      <c r="LAI79" s="5"/>
      <c r="LAJ79" s="5"/>
      <c r="LAK79" s="5"/>
      <c r="LAL79" s="5"/>
      <c r="LAM79" s="5"/>
      <c r="LAN79" s="5"/>
      <c r="LAO79" s="5"/>
      <c r="LAP79" s="5"/>
      <c r="LAQ79" s="5"/>
      <c r="LAR79" s="5"/>
      <c r="LAS79" s="5"/>
      <c r="LAT79" s="5"/>
      <c r="LAU79" s="5"/>
      <c r="LAV79" s="5"/>
      <c r="LAW79" s="5"/>
      <c r="LAX79" s="5"/>
      <c r="LAY79" s="5"/>
      <c r="LAZ79" s="5"/>
      <c r="LBA79" s="5"/>
      <c r="LBB79" s="5"/>
      <c r="LBC79" s="5"/>
      <c r="LBD79" s="5"/>
      <c r="LBE79" s="5"/>
      <c r="LBF79" s="5"/>
      <c r="LBG79" s="5"/>
      <c r="LBH79" s="5"/>
      <c r="LBI79" s="5"/>
      <c r="LBJ79" s="5"/>
      <c r="LBK79" s="5"/>
      <c r="LBL79" s="5"/>
      <c r="LBM79" s="5"/>
      <c r="LBN79" s="5"/>
      <c r="LBO79" s="5"/>
      <c r="LBP79" s="5"/>
      <c r="LBQ79" s="5"/>
      <c r="LBR79" s="5"/>
      <c r="LBS79" s="5"/>
      <c r="LBT79" s="5"/>
      <c r="LBU79" s="5"/>
      <c r="LBV79" s="5"/>
      <c r="LBW79" s="5"/>
      <c r="LBX79" s="5"/>
      <c r="LBY79" s="5"/>
      <c r="LBZ79" s="5"/>
      <c r="LCA79" s="5"/>
      <c r="LCB79" s="5"/>
      <c r="LCC79" s="5"/>
      <c r="LCD79" s="5"/>
      <c r="LCE79" s="5"/>
      <c r="LCF79" s="5"/>
      <c r="LCG79" s="5"/>
      <c r="LCH79" s="5"/>
      <c r="LCI79" s="5"/>
      <c r="LCJ79" s="5"/>
      <c r="LCK79" s="5"/>
      <c r="LCL79" s="5"/>
      <c r="LCM79" s="5"/>
      <c r="LCN79" s="5"/>
      <c r="LCO79" s="5"/>
      <c r="LCP79" s="5"/>
      <c r="LCQ79" s="5"/>
      <c r="LCR79" s="5"/>
      <c r="LCS79" s="5"/>
      <c r="LCT79" s="5"/>
      <c r="LCU79" s="5"/>
      <c r="LCV79" s="5"/>
      <c r="LCW79" s="5"/>
      <c r="LCX79" s="5"/>
      <c r="LCY79" s="5"/>
      <c r="LCZ79" s="5"/>
      <c r="LDA79" s="5"/>
      <c r="LDB79" s="5"/>
      <c r="LDC79" s="5"/>
      <c r="LDD79" s="5"/>
      <c r="LDE79" s="5"/>
      <c r="LDF79" s="5"/>
      <c r="LDG79" s="5"/>
      <c r="LDH79" s="5"/>
      <c r="LDI79" s="5"/>
      <c r="LDJ79" s="5"/>
      <c r="LDK79" s="5"/>
      <c r="LDL79" s="5"/>
      <c r="LDM79" s="5"/>
      <c r="LDN79" s="5"/>
      <c r="LDO79" s="5"/>
      <c r="LDP79" s="5"/>
      <c r="LDQ79" s="5"/>
      <c r="LDR79" s="5"/>
      <c r="LDS79" s="5"/>
      <c r="LDT79" s="5"/>
      <c r="LDU79" s="5"/>
      <c r="LDV79" s="5"/>
      <c r="LDW79" s="5"/>
      <c r="LDX79" s="5"/>
      <c r="LDY79" s="5"/>
      <c r="LDZ79" s="5"/>
      <c r="LEA79" s="5"/>
      <c r="LEB79" s="5"/>
      <c r="LEC79" s="5"/>
      <c r="LED79" s="5"/>
      <c r="LEE79" s="5"/>
      <c r="LEF79" s="5"/>
      <c r="LEG79" s="5"/>
      <c r="LEH79" s="5"/>
      <c r="LEI79" s="5"/>
      <c r="LEJ79" s="5"/>
      <c r="LEK79" s="5"/>
      <c r="LEL79" s="5"/>
      <c r="LEM79" s="5"/>
      <c r="LEN79" s="5"/>
      <c r="LEO79" s="5"/>
      <c r="LEP79" s="5"/>
      <c r="LEQ79" s="5"/>
      <c r="LER79" s="5"/>
      <c r="LES79" s="5"/>
      <c r="LET79" s="5"/>
      <c r="LEU79" s="5"/>
      <c r="LEV79" s="5"/>
      <c r="LEW79" s="5"/>
      <c r="LEX79" s="5"/>
      <c r="LEY79" s="5"/>
      <c r="LEZ79" s="5"/>
      <c r="LFA79" s="5"/>
      <c r="LFB79" s="5"/>
      <c r="LFC79" s="5"/>
      <c r="LFD79" s="5"/>
      <c r="LFE79" s="5"/>
      <c r="LFF79" s="5"/>
      <c r="LFG79" s="5"/>
      <c r="LFH79" s="5"/>
      <c r="LFI79" s="5"/>
      <c r="LFJ79" s="5"/>
      <c r="LFK79" s="5"/>
      <c r="LFL79" s="5"/>
      <c r="LFM79" s="5"/>
      <c r="LFN79" s="5"/>
      <c r="LFO79" s="5"/>
      <c r="LFP79" s="5"/>
      <c r="LFQ79" s="5"/>
      <c r="LFR79" s="5"/>
      <c r="LFS79" s="5"/>
      <c r="LFT79" s="5"/>
      <c r="LFU79" s="5"/>
      <c r="LFV79" s="5"/>
      <c r="LFW79" s="5"/>
      <c r="LFX79" s="5"/>
      <c r="LFY79" s="5"/>
      <c r="LFZ79" s="5"/>
      <c r="LGA79" s="5"/>
      <c r="LGB79" s="5"/>
      <c r="LGC79" s="5"/>
      <c r="LGD79" s="5"/>
      <c r="LGE79" s="5"/>
      <c r="LGF79" s="5"/>
      <c r="LGG79" s="5"/>
      <c r="LGH79" s="5"/>
      <c r="LGI79" s="5"/>
      <c r="LGJ79" s="5"/>
      <c r="LGK79" s="5"/>
      <c r="LGL79" s="5"/>
      <c r="LGM79" s="5"/>
      <c r="LGN79" s="5"/>
      <c r="LGO79" s="5"/>
      <c r="LGP79" s="5"/>
      <c r="LGQ79" s="5"/>
      <c r="LGR79" s="5"/>
      <c r="LGS79" s="5"/>
      <c r="LGT79" s="5"/>
      <c r="LGU79" s="5"/>
      <c r="LGV79" s="5"/>
      <c r="LGW79" s="5"/>
      <c r="LGX79" s="5"/>
      <c r="LGY79" s="5"/>
      <c r="LGZ79" s="5"/>
      <c r="LHA79" s="5"/>
      <c r="LHB79" s="5"/>
      <c r="LHC79" s="5"/>
      <c r="LHD79" s="5"/>
      <c r="LHE79" s="5"/>
      <c r="LHF79" s="5"/>
      <c r="LHG79" s="5"/>
      <c r="LHH79" s="5"/>
      <c r="LHI79" s="5"/>
      <c r="LHJ79" s="5"/>
      <c r="LHK79" s="5"/>
      <c r="LHL79" s="5"/>
      <c r="LHM79" s="5"/>
      <c r="LHN79" s="5"/>
      <c r="LHO79" s="5"/>
      <c r="LHP79" s="5"/>
      <c r="LHQ79" s="5"/>
      <c r="LHR79" s="5"/>
      <c r="LHS79" s="5"/>
      <c r="LHT79" s="5"/>
      <c r="LHU79" s="5"/>
      <c r="LHV79" s="5"/>
      <c r="LHW79" s="5"/>
      <c r="LHX79" s="5"/>
      <c r="LHY79" s="5"/>
      <c r="LHZ79" s="5"/>
      <c r="LIA79" s="5"/>
      <c r="LIB79" s="5"/>
      <c r="LIC79" s="5"/>
      <c r="LID79" s="5"/>
      <c r="LIE79" s="5"/>
      <c r="LIF79" s="5"/>
      <c r="LIG79" s="5"/>
      <c r="LIH79" s="5"/>
      <c r="LII79" s="5"/>
      <c r="LIJ79" s="5"/>
      <c r="LIK79" s="5"/>
      <c r="LIL79" s="5"/>
      <c r="LIM79" s="5"/>
      <c r="LIN79" s="5"/>
      <c r="LIO79" s="5"/>
      <c r="LIP79" s="5"/>
      <c r="LIQ79" s="5"/>
      <c r="LIR79" s="5"/>
      <c r="LIS79" s="5"/>
      <c r="LIT79" s="5"/>
      <c r="LIU79" s="5"/>
      <c r="LIV79" s="5"/>
      <c r="LIW79" s="5"/>
      <c r="LIX79" s="5"/>
      <c r="LIY79" s="5"/>
      <c r="LIZ79" s="5"/>
      <c r="LJA79" s="5"/>
      <c r="LJB79" s="5"/>
      <c r="LJC79" s="5"/>
      <c r="LJD79" s="5"/>
      <c r="LJE79" s="5"/>
      <c r="LJF79" s="5"/>
      <c r="LJG79" s="5"/>
      <c r="LJH79" s="5"/>
      <c r="LJI79" s="5"/>
      <c r="LJJ79" s="5"/>
      <c r="LJK79" s="5"/>
      <c r="LJL79" s="5"/>
      <c r="LJM79" s="5"/>
      <c r="LJN79" s="5"/>
      <c r="LJO79" s="5"/>
      <c r="LJP79" s="5"/>
      <c r="LJQ79" s="5"/>
      <c r="LJR79" s="5"/>
      <c r="LJS79" s="5"/>
      <c r="LJT79" s="5"/>
      <c r="LJU79" s="5"/>
      <c r="LJV79" s="5"/>
      <c r="LJW79" s="5"/>
      <c r="LJX79" s="5"/>
      <c r="LJY79" s="5"/>
      <c r="LJZ79" s="5"/>
      <c r="LKA79" s="5"/>
      <c r="LKB79" s="5"/>
      <c r="LKC79" s="5"/>
      <c r="LKD79" s="5"/>
      <c r="LKE79" s="5"/>
      <c r="LKF79" s="5"/>
      <c r="LKG79" s="5"/>
      <c r="LKH79" s="5"/>
      <c r="LKI79" s="5"/>
      <c r="LKJ79" s="5"/>
      <c r="LKK79" s="5"/>
      <c r="LKL79" s="5"/>
      <c r="LKM79" s="5"/>
      <c r="LKN79" s="5"/>
      <c r="LKO79" s="5"/>
      <c r="LKP79" s="5"/>
      <c r="LKQ79" s="5"/>
      <c r="LKR79" s="5"/>
      <c r="LKS79" s="5"/>
      <c r="LKT79" s="5"/>
      <c r="LKU79" s="5"/>
      <c r="LKV79" s="5"/>
      <c r="LKW79" s="5"/>
      <c r="LKX79" s="5"/>
      <c r="LKY79" s="5"/>
      <c r="LKZ79" s="5"/>
      <c r="LLA79" s="5"/>
      <c r="LLB79" s="5"/>
      <c r="LLC79" s="5"/>
      <c r="LLD79" s="5"/>
      <c r="LLE79" s="5"/>
      <c r="LLF79" s="5"/>
      <c r="LLG79" s="5"/>
      <c r="LLH79" s="5"/>
      <c r="LLI79" s="5"/>
      <c r="LLJ79" s="5"/>
      <c r="LLK79" s="5"/>
      <c r="LLL79" s="5"/>
      <c r="LLM79" s="5"/>
      <c r="LLN79" s="5"/>
      <c r="LLO79" s="5"/>
      <c r="LLP79" s="5"/>
      <c r="LLQ79" s="5"/>
      <c r="LLR79" s="5"/>
      <c r="LLS79" s="5"/>
      <c r="LLT79" s="5"/>
      <c r="LLU79" s="5"/>
      <c r="LLV79" s="5"/>
      <c r="LLW79" s="5"/>
      <c r="LLX79" s="5"/>
      <c r="LLY79" s="5"/>
      <c r="LLZ79" s="5"/>
      <c r="LMA79" s="5"/>
      <c r="LMB79" s="5"/>
      <c r="LMC79" s="5"/>
      <c r="LMD79" s="5"/>
      <c r="LME79" s="5"/>
      <c r="LMF79" s="5"/>
      <c r="LMG79" s="5"/>
      <c r="LMH79" s="5"/>
      <c r="LMI79" s="5"/>
      <c r="LMJ79" s="5"/>
      <c r="LMK79" s="5"/>
      <c r="LML79" s="5"/>
      <c r="LMM79" s="5"/>
      <c r="LMN79" s="5"/>
      <c r="LMO79" s="5"/>
      <c r="LMP79" s="5"/>
      <c r="LMQ79" s="5"/>
      <c r="LMR79" s="5"/>
      <c r="LMS79" s="5"/>
      <c r="LMT79" s="5"/>
      <c r="LMU79" s="5"/>
      <c r="LMV79" s="5"/>
      <c r="LMW79" s="5"/>
      <c r="LMX79" s="5"/>
      <c r="LMY79" s="5"/>
      <c r="LMZ79" s="5"/>
      <c r="LNA79" s="5"/>
      <c r="LNB79" s="5"/>
      <c r="LNC79" s="5"/>
      <c r="LND79" s="5"/>
      <c r="LNE79" s="5"/>
      <c r="LNF79" s="5"/>
      <c r="LNG79" s="5"/>
      <c r="LNH79" s="5"/>
      <c r="LNI79" s="5"/>
      <c r="LNJ79" s="5"/>
      <c r="LNK79" s="5"/>
      <c r="LNL79" s="5"/>
      <c r="LNM79" s="5"/>
      <c r="LNN79" s="5"/>
      <c r="LNO79" s="5"/>
      <c r="LNP79" s="5"/>
      <c r="LNQ79" s="5"/>
      <c r="LNR79" s="5"/>
      <c r="LNS79" s="5"/>
      <c r="LNT79" s="5"/>
      <c r="LNU79" s="5"/>
      <c r="LNV79" s="5"/>
      <c r="LNW79" s="5"/>
      <c r="LNX79" s="5"/>
      <c r="LNY79" s="5"/>
      <c r="LNZ79" s="5"/>
      <c r="LOA79" s="5"/>
      <c r="LOB79" s="5"/>
      <c r="LOC79" s="5"/>
      <c r="LOD79" s="5"/>
      <c r="LOE79" s="5"/>
      <c r="LOF79" s="5"/>
      <c r="LOG79" s="5"/>
      <c r="LOH79" s="5"/>
      <c r="LOI79" s="5"/>
      <c r="LOJ79" s="5"/>
      <c r="LOK79" s="5"/>
      <c r="LOL79" s="5"/>
      <c r="LOM79" s="5"/>
      <c r="LON79" s="5"/>
      <c r="LOO79" s="5"/>
      <c r="LOP79" s="5"/>
      <c r="LOQ79" s="5"/>
      <c r="LOR79" s="5"/>
      <c r="LOS79" s="5"/>
      <c r="LOT79" s="5"/>
      <c r="LOU79" s="5"/>
      <c r="LOV79" s="5"/>
      <c r="LOW79" s="5"/>
      <c r="LOX79" s="5"/>
      <c r="LOY79" s="5"/>
      <c r="LOZ79" s="5"/>
      <c r="LPA79" s="5"/>
      <c r="LPB79" s="5"/>
      <c r="LPC79" s="5"/>
      <c r="LPD79" s="5"/>
      <c r="LPE79" s="5"/>
      <c r="LPF79" s="5"/>
      <c r="LPG79" s="5"/>
      <c r="LPH79" s="5"/>
      <c r="LPI79" s="5"/>
      <c r="LPJ79" s="5"/>
      <c r="LPK79" s="5"/>
      <c r="LPL79" s="5"/>
      <c r="LPM79" s="5"/>
      <c r="LPN79" s="5"/>
      <c r="LPO79" s="5"/>
      <c r="LPP79" s="5"/>
      <c r="LPQ79" s="5"/>
      <c r="LPR79" s="5"/>
      <c r="LPS79" s="5"/>
      <c r="LPT79" s="5"/>
      <c r="LPU79" s="5"/>
      <c r="LPV79" s="5"/>
      <c r="LPW79" s="5"/>
      <c r="LPX79" s="5"/>
      <c r="LPY79" s="5"/>
      <c r="LPZ79" s="5"/>
      <c r="LQA79" s="5"/>
      <c r="LQB79" s="5"/>
      <c r="LQC79" s="5"/>
      <c r="LQD79" s="5"/>
      <c r="LQE79" s="5"/>
      <c r="LQF79" s="5"/>
      <c r="LQG79" s="5"/>
      <c r="LQH79" s="5"/>
      <c r="LQI79" s="5"/>
      <c r="LQJ79" s="5"/>
      <c r="LQK79" s="5"/>
      <c r="LQL79" s="5"/>
      <c r="LQM79" s="5"/>
      <c r="LQN79" s="5"/>
      <c r="LQO79" s="5"/>
      <c r="LQP79" s="5"/>
      <c r="LQQ79" s="5"/>
      <c r="LQR79" s="5"/>
      <c r="LQS79" s="5"/>
      <c r="LQT79" s="5"/>
      <c r="LQU79" s="5"/>
      <c r="LQV79" s="5"/>
      <c r="LQW79" s="5"/>
      <c r="LQX79" s="5"/>
      <c r="LQY79" s="5"/>
      <c r="LQZ79" s="5"/>
      <c r="LRA79" s="5"/>
      <c r="LRB79" s="5"/>
      <c r="LRC79" s="5"/>
      <c r="LRD79" s="5"/>
      <c r="LRE79" s="5"/>
      <c r="LRF79" s="5"/>
      <c r="LRG79" s="5"/>
      <c r="LRH79" s="5"/>
      <c r="LRI79" s="5"/>
      <c r="LRJ79" s="5"/>
      <c r="LRK79" s="5"/>
      <c r="LRL79" s="5"/>
      <c r="LRM79" s="5"/>
      <c r="LRN79" s="5"/>
      <c r="LRO79" s="5"/>
      <c r="LRP79" s="5"/>
      <c r="LRQ79" s="5"/>
      <c r="LRR79" s="5"/>
      <c r="LRS79" s="5"/>
      <c r="LRT79" s="5"/>
      <c r="LRU79" s="5"/>
      <c r="LRV79" s="5"/>
      <c r="LRW79" s="5"/>
      <c r="LRX79" s="5"/>
      <c r="LRY79" s="5"/>
      <c r="LRZ79" s="5"/>
      <c r="LSA79" s="5"/>
      <c r="LSB79" s="5"/>
      <c r="LSC79" s="5"/>
      <c r="LSD79" s="5"/>
      <c r="LSE79" s="5"/>
      <c r="LSF79" s="5"/>
      <c r="LSG79" s="5"/>
      <c r="LSH79" s="5"/>
      <c r="LSI79" s="5"/>
      <c r="LSJ79" s="5"/>
      <c r="LSK79" s="5"/>
      <c r="LSL79" s="5"/>
      <c r="LSM79" s="5"/>
      <c r="LSN79" s="5"/>
      <c r="LSO79" s="5"/>
      <c r="LSP79" s="5"/>
      <c r="LSQ79" s="5"/>
      <c r="LSR79" s="5"/>
      <c r="LSS79" s="5"/>
      <c r="LST79" s="5"/>
      <c r="LSU79" s="5"/>
      <c r="LSV79" s="5"/>
      <c r="LSW79" s="5"/>
      <c r="LSX79" s="5"/>
      <c r="LSY79" s="5"/>
      <c r="LSZ79" s="5"/>
      <c r="LTA79" s="5"/>
      <c r="LTB79" s="5"/>
      <c r="LTC79" s="5"/>
      <c r="LTD79" s="5"/>
      <c r="LTE79" s="5"/>
      <c r="LTF79" s="5"/>
      <c r="LTG79" s="5"/>
      <c r="LTH79" s="5"/>
      <c r="LTI79" s="5"/>
      <c r="LTJ79" s="5"/>
      <c r="LTK79" s="5"/>
      <c r="LTL79" s="5"/>
      <c r="LTM79" s="5"/>
      <c r="LTN79" s="5"/>
      <c r="LTO79" s="5"/>
      <c r="LTP79" s="5"/>
      <c r="LTQ79" s="5"/>
      <c r="LTR79" s="5"/>
      <c r="LTS79" s="5"/>
      <c r="LTT79" s="5"/>
      <c r="LTU79" s="5"/>
      <c r="LTV79" s="5"/>
      <c r="LTW79" s="5"/>
      <c r="LTX79" s="5"/>
      <c r="LTY79" s="5"/>
      <c r="LTZ79" s="5"/>
      <c r="LUA79" s="5"/>
      <c r="LUB79" s="5"/>
      <c r="LUC79" s="5"/>
      <c r="LUD79" s="5"/>
      <c r="LUE79" s="5"/>
      <c r="LUF79" s="5"/>
      <c r="LUG79" s="5"/>
      <c r="LUH79" s="5"/>
      <c r="LUI79" s="5"/>
      <c r="LUJ79" s="5"/>
      <c r="LUK79" s="5"/>
      <c r="LUL79" s="5"/>
      <c r="LUM79" s="5"/>
      <c r="LUN79" s="5"/>
      <c r="LUO79" s="5"/>
      <c r="LUP79" s="5"/>
      <c r="LUQ79" s="5"/>
      <c r="LUR79" s="5"/>
      <c r="LUS79" s="5"/>
      <c r="LUT79" s="5"/>
      <c r="LUU79" s="5"/>
      <c r="LUV79" s="5"/>
      <c r="LUW79" s="5"/>
      <c r="LUX79" s="5"/>
      <c r="LUY79" s="5"/>
      <c r="LUZ79" s="5"/>
      <c r="LVA79" s="5"/>
      <c r="LVB79" s="5"/>
      <c r="LVC79" s="5"/>
      <c r="LVD79" s="5"/>
      <c r="LVE79" s="5"/>
      <c r="LVF79" s="5"/>
      <c r="LVG79" s="5"/>
      <c r="LVH79" s="5"/>
      <c r="LVI79" s="5"/>
      <c r="LVJ79" s="5"/>
      <c r="LVK79" s="5"/>
      <c r="LVL79" s="5"/>
      <c r="LVM79" s="5"/>
      <c r="LVN79" s="5"/>
      <c r="LVO79" s="5"/>
      <c r="LVP79" s="5"/>
      <c r="LVQ79" s="5"/>
      <c r="LVR79" s="5"/>
      <c r="LVS79" s="5"/>
      <c r="LVT79" s="5"/>
      <c r="LVU79" s="5"/>
      <c r="LVV79" s="5"/>
      <c r="LVW79" s="5"/>
      <c r="LVX79" s="5"/>
      <c r="LVY79" s="5"/>
      <c r="LVZ79" s="5"/>
      <c r="LWA79" s="5"/>
      <c r="LWB79" s="5"/>
      <c r="LWC79" s="5"/>
      <c r="LWD79" s="5"/>
      <c r="LWE79" s="5"/>
      <c r="LWF79" s="5"/>
      <c r="LWG79" s="5"/>
      <c r="LWH79" s="5"/>
      <c r="LWI79" s="5"/>
      <c r="LWJ79" s="5"/>
      <c r="LWK79" s="5"/>
      <c r="LWL79" s="5"/>
      <c r="LWM79" s="5"/>
      <c r="LWN79" s="5"/>
      <c r="LWO79" s="5"/>
      <c r="LWP79" s="5"/>
      <c r="LWQ79" s="5"/>
      <c r="LWR79" s="5"/>
      <c r="LWS79" s="5"/>
      <c r="LWT79" s="5"/>
      <c r="LWU79" s="5"/>
      <c r="LWV79" s="5"/>
      <c r="LWW79" s="5"/>
      <c r="LWX79" s="5"/>
      <c r="LWY79" s="5"/>
      <c r="LWZ79" s="5"/>
      <c r="LXA79" s="5"/>
      <c r="LXB79" s="5"/>
      <c r="LXC79" s="5"/>
      <c r="LXD79" s="5"/>
      <c r="LXE79" s="5"/>
      <c r="LXF79" s="5"/>
      <c r="LXG79" s="5"/>
      <c r="LXH79" s="5"/>
      <c r="LXI79" s="5"/>
      <c r="LXJ79" s="5"/>
      <c r="LXK79" s="5"/>
      <c r="LXL79" s="5"/>
      <c r="LXM79" s="5"/>
      <c r="LXN79" s="5"/>
      <c r="LXO79" s="5"/>
      <c r="LXP79" s="5"/>
      <c r="LXQ79" s="5"/>
      <c r="LXR79" s="5"/>
      <c r="LXS79" s="5"/>
      <c r="LXT79" s="5"/>
      <c r="LXU79" s="5"/>
      <c r="LXV79" s="5"/>
      <c r="LXW79" s="5"/>
      <c r="LXX79" s="5"/>
      <c r="LXY79" s="5"/>
      <c r="LXZ79" s="5"/>
      <c r="LYA79" s="5"/>
      <c r="LYB79" s="5"/>
      <c r="LYC79" s="5"/>
      <c r="LYD79" s="5"/>
      <c r="LYE79" s="5"/>
      <c r="LYF79" s="5"/>
      <c r="LYG79" s="5"/>
      <c r="LYH79" s="5"/>
      <c r="LYI79" s="5"/>
      <c r="LYJ79" s="5"/>
      <c r="LYK79" s="5"/>
      <c r="LYL79" s="5"/>
      <c r="LYM79" s="5"/>
      <c r="LYN79" s="5"/>
      <c r="LYO79" s="5"/>
      <c r="LYP79" s="5"/>
      <c r="LYQ79" s="5"/>
      <c r="LYR79" s="5"/>
      <c r="LYS79" s="5"/>
      <c r="LYT79" s="5"/>
      <c r="LYU79" s="5"/>
      <c r="LYV79" s="5"/>
      <c r="LYW79" s="5"/>
      <c r="LYX79" s="5"/>
      <c r="LYY79" s="5"/>
      <c r="LYZ79" s="5"/>
      <c r="LZA79" s="5"/>
      <c r="LZB79" s="5"/>
      <c r="LZC79" s="5"/>
      <c r="LZD79" s="5"/>
      <c r="LZE79" s="5"/>
      <c r="LZF79" s="5"/>
      <c r="LZG79" s="5"/>
      <c r="LZH79" s="5"/>
      <c r="LZI79" s="5"/>
      <c r="LZJ79" s="5"/>
      <c r="LZK79" s="5"/>
      <c r="LZL79" s="5"/>
      <c r="LZM79" s="5"/>
      <c r="LZN79" s="5"/>
      <c r="LZO79" s="5"/>
      <c r="LZP79" s="5"/>
      <c r="LZQ79" s="5"/>
      <c r="LZR79" s="5"/>
      <c r="LZS79" s="5"/>
      <c r="LZT79" s="5"/>
      <c r="LZU79" s="5"/>
      <c r="LZV79" s="5"/>
      <c r="LZW79" s="5"/>
      <c r="LZX79" s="5"/>
      <c r="LZY79" s="5"/>
      <c r="LZZ79" s="5"/>
      <c r="MAA79" s="5"/>
      <c r="MAB79" s="5"/>
      <c r="MAC79" s="5"/>
      <c r="MAD79" s="5"/>
      <c r="MAE79" s="5"/>
      <c r="MAF79" s="5"/>
      <c r="MAG79" s="5"/>
      <c r="MAH79" s="5"/>
      <c r="MAI79" s="5"/>
      <c r="MAJ79" s="5"/>
      <c r="MAK79" s="5"/>
      <c r="MAL79" s="5"/>
      <c r="MAM79" s="5"/>
      <c r="MAN79" s="5"/>
      <c r="MAO79" s="5"/>
      <c r="MAP79" s="5"/>
      <c r="MAQ79" s="5"/>
      <c r="MAR79" s="5"/>
      <c r="MAS79" s="5"/>
      <c r="MAT79" s="5"/>
      <c r="MAU79" s="5"/>
      <c r="MAV79" s="5"/>
      <c r="MAW79" s="5"/>
      <c r="MAX79" s="5"/>
      <c r="MAY79" s="5"/>
      <c r="MAZ79" s="5"/>
      <c r="MBA79" s="5"/>
      <c r="MBB79" s="5"/>
      <c r="MBC79" s="5"/>
      <c r="MBD79" s="5"/>
      <c r="MBE79" s="5"/>
      <c r="MBF79" s="5"/>
      <c r="MBG79" s="5"/>
      <c r="MBH79" s="5"/>
      <c r="MBI79" s="5"/>
      <c r="MBJ79" s="5"/>
      <c r="MBK79" s="5"/>
      <c r="MBL79" s="5"/>
      <c r="MBM79" s="5"/>
      <c r="MBN79" s="5"/>
      <c r="MBO79" s="5"/>
      <c r="MBP79" s="5"/>
      <c r="MBQ79" s="5"/>
      <c r="MBR79" s="5"/>
      <c r="MBS79" s="5"/>
      <c r="MBT79" s="5"/>
      <c r="MBU79" s="5"/>
      <c r="MBV79" s="5"/>
      <c r="MBW79" s="5"/>
      <c r="MBX79" s="5"/>
      <c r="MBY79" s="5"/>
      <c r="MBZ79" s="5"/>
      <c r="MCA79" s="5"/>
      <c r="MCB79" s="5"/>
      <c r="MCC79" s="5"/>
      <c r="MCD79" s="5"/>
      <c r="MCE79" s="5"/>
      <c r="MCF79" s="5"/>
      <c r="MCG79" s="5"/>
      <c r="MCH79" s="5"/>
      <c r="MCI79" s="5"/>
      <c r="MCJ79" s="5"/>
      <c r="MCK79" s="5"/>
      <c r="MCL79" s="5"/>
      <c r="MCM79" s="5"/>
      <c r="MCN79" s="5"/>
      <c r="MCO79" s="5"/>
      <c r="MCP79" s="5"/>
      <c r="MCQ79" s="5"/>
      <c r="MCR79" s="5"/>
      <c r="MCS79" s="5"/>
      <c r="MCT79" s="5"/>
      <c r="MCU79" s="5"/>
      <c r="MCV79" s="5"/>
      <c r="MCW79" s="5"/>
      <c r="MCX79" s="5"/>
      <c r="MCY79" s="5"/>
      <c r="MCZ79" s="5"/>
      <c r="MDA79" s="5"/>
      <c r="MDB79" s="5"/>
      <c r="MDC79" s="5"/>
      <c r="MDD79" s="5"/>
      <c r="MDE79" s="5"/>
      <c r="MDF79" s="5"/>
      <c r="MDG79" s="5"/>
      <c r="MDH79" s="5"/>
      <c r="MDI79" s="5"/>
      <c r="MDJ79" s="5"/>
      <c r="MDK79" s="5"/>
      <c r="MDL79" s="5"/>
      <c r="MDM79" s="5"/>
      <c r="MDN79" s="5"/>
      <c r="MDO79" s="5"/>
      <c r="MDP79" s="5"/>
      <c r="MDQ79" s="5"/>
      <c r="MDR79" s="5"/>
      <c r="MDS79" s="5"/>
      <c r="MDT79" s="5"/>
      <c r="MDU79" s="5"/>
      <c r="MDV79" s="5"/>
      <c r="MDW79" s="5"/>
      <c r="MDX79" s="5"/>
      <c r="MDY79" s="5"/>
      <c r="MDZ79" s="5"/>
      <c r="MEA79" s="5"/>
      <c r="MEB79" s="5"/>
      <c r="MEC79" s="5"/>
      <c r="MED79" s="5"/>
      <c r="MEE79" s="5"/>
      <c r="MEF79" s="5"/>
      <c r="MEG79" s="5"/>
      <c r="MEH79" s="5"/>
      <c r="MEI79" s="5"/>
      <c r="MEJ79" s="5"/>
      <c r="MEK79" s="5"/>
      <c r="MEL79" s="5"/>
      <c r="MEM79" s="5"/>
      <c r="MEN79" s="5"/>
      <c r="MEO79" s="5"/>
      <c r="MEP79" s="5"/>
      <c r="MEQ79" s="5"/>
      <c r="MER79" s="5"/>
      <c r="MES79" s="5"/>
      <c r="MET79" s="5"/>
      <c r="MEU79" s="5"/>
      <c r="MEV79" s="5"/>
      <c r="MEW79" s="5"/>
      <c r="MEX79" s="5"/>
      <c r="MEY79" s="5"/>
      <c r="MEZ79" s="5"/>
      <c r="MFA79" s="5"/>
      <c r="MFB79" s="5"/>
      <c r="MFC79" s="5"/>
      <c r="MFD79" s="5"/>
      <c r="MFE79" s="5"/>
      <c r="MFF79" s="5"/>
      <c r="MFG79" s="5"/>
      <c r="MFH79" s="5"/>
      <c r="MFI79" s="5"/>
      <c r="MFJ79" s="5"/>
      <c r="MFK79" s="5"/>
      <c r="MFL79" s="5"/>
      <c r="MFM79" s="5"/>
      <c r="MFN79" s="5"/>
      <c r="MFO79" s="5"/>
      <c r="MFP79" s="5"/>
      <c r="MFQ79" s="5"/>
      <c r="MFR79" s="5"/>
      <c r="MFS79" s="5"/>
      <c r="MFT79" s="5"/>
      <c r="MFU79" s="5"/>
      <c r="MFV79" s="5"/>
      <c r="MFW79" s="5"/>
      <c r="MFX79" s="5"/>
      <c r="MFY79" s="5"/>
      <c r="MFZ79" s="5"/>
      <c r="MGA79" s="5"/>
      <c r="MGB79" s="5"/>
      <c r="MGC79" s="5"/>
      <c r="MGD79" s="5"/>
      <c r="MGE79" s="5"/>
      <c r="MGF79" s="5"/>
      <c r="MGG79" s="5"/>
      <c r="MGH79" s="5"/>
      <c r="MGI79" s="5"/>
      <c r="MGJ79" s="5"/>
      <c r="MGK79" s="5"/>
      <c r="MGL79" s="5"/>
      <c r="MGM79" s="5"/>
      <c r="MGN79" s="5"/>
      <c r="MGO79" s="5"/>
      <c r="MGP79" s="5"/>
      <c r="MGQ79" s="5"/>
      <c r="MGR79" s="5"/>
      <c r="MGS79" s="5"/>
      <c r="MGT79" s="5"/>
      <c r="MGU79" s="5"/>
      <c r="MGV79" s="5"/>
      <c r="MGW79" s="5"/>
      <c r="MGX79" s="5"/>
      <c r="MGY79" s="5"/>
      <c r="MGZ79" s="5"/>
      <c r="MHA79" s="5"/>
      <c r="MHB79" s="5"/>
      <c r="MHC79" s="5"/>
      <c r="MHD79" s="5"/>
      <c r="MHE79" s="5"/>
      <c r="MHF79" s="5"/>
      <c r="MHG79" s="5"/>
      <c r="MHH79" s="5"/>
      <c r="MHI79" s="5"/>
      <c r="MHJ79" s="5"/>
      <c r="MHK79" s="5"/>
      <c r="MHL79" s="5"/>
      <c r="MHM79" s="5"/>
      <c r="MHN79" s="5"/>
      <c r="MHO79" s="5"/>
      <c r="MHP79" s="5"/>
      <c r="MHQ79" s="5"/>
      <c r="MHR79" s="5"/>
      <c r="MHS79" s="5"/>
      <c r="MHT79" s="5"/>
      <c r="MHU79" s="5"/>
      <c r="MHV79" s="5"/>
      <c r="MHW79" s="5"/>
      <c r="MHX79" s="5"/>
      <c r="MHY79" s="5"/>
      <c r="MHZ79" s="5"/>
      <c r="MIA79" s="5"/>
      <c r="MIB79" s="5"/>
      <c r="MIC79" s="5"/>
      <c r="MID79" s="5"/>
      <c r="MIE79" s="5"/>
      <c r="MIF79" s="5"/>
      <c r="MIG79" s="5"/>
      <c r="MIH79" s="5"/>
      <c r="MII79" s="5"/>
      <c r="MIJ79" s="5"/>
      <c r="MIK79" s="5"/>
      <c r="MIL79" s="5"/>
      <c r="MIM79" s="5"/>
      <c r="MIN79" s="5"/>
      <c r="MIO79" s="5"/>
      <c r="MIP79" s="5"/>
      <c r="MIQ79" s="5"/>
      <c r="MIR79" s="5"/>
      <c r="MIS79" s="5"/>
      <c r="MIT79" s="5"/>
      <c r="MIU79" s="5"/>
      <c r="MIV79" s="5"/>
      <c r="MIW79" s="5"/>
      <c r="MIX79" s="5"/>
      <c r="MIY79" s="5"/>
      <c r="MIZ79" s="5"/>
      <c r="MJA79" s="5"/>
      <c r="MJB79" s="5"/>
      <c r="MJC79" s="5"/>
      <c r="MJD79" s="5"/>
      <c r="MJE79" s="5"/>
      <c r="MJF79" s="5"/>
      <c r="MJG79" s="5"/>
      <c r="MJH79" s="5"/>
      <c r="MJI79" s="5"/>
      <c r="MJJ79" s="5"/>
      <c r="MJK79" s="5"/>
      <c r="MJL79" s="5"/>
      <c r="MJM79" s="5"/>
      <c r="MJN79" s="5"/>
      <c r="MJO79" s="5"/>
      <c r="MJP79" s="5"/>
      <c r="MJQ79" s="5"/>
      <c r="MJR79" s="5"/>
      <c r="MJS79" s="5"/>
      <c r="MJT79" s="5"/>
      <c r="MJU79" s="5"/>
      <c r="MJV79" s="5"/>
      <c r="MJW79" s="5"/>
      <c r="MJX79" s="5"/>
      <c r="MJY79" s="5"/>
      <c r="MJZ79" s="5"/>
      <c r="MKA79" s="5"/>
      <c r="MKB79" s="5"/>
      <c r="MKC79" s="5"/>
      <c r="MKD79" s="5"/>
      <c r="MKE79" s="5"/>
      <c r="MKF79" s="5"/>
      <c r="MKG79" s="5"/>
      <c r="MKH79" s="5"/>
      <c r="MKI79" s="5"/>
      <c r="MKJ79" s="5"/>
      <c r="MKK79" s="5"/>
      <c r="MKL79" s="5"/>
      <c r="MKM79" s="5"/>
      <c r="MKN79" s="5"/>
      <c r="MKO79" s="5"/>
      <c r="MKP79" s="5"/>
      <c r="MKQ79" s="5"/>
      <c r="MKR79" s="5"/>
      <c r="MKS79" s="5"/>
      <c r="MKT79" s="5"/>
      <c r="MKU79" s="5"/>
      <c r="MKV79" s="5"/>
      <c r="MKW79" s="5"/>
      <c r="MKX79" s="5"/>
      <c r="MKY79" s="5"/>
      <c r="MKZ79" s="5"/>
      <c r="MLA79" s="5"/>
      <c r="MLB79" s="5"/>
      <c r="MLC79" s="5"/>
      <c r="MLD79" s="5"/>
      <c r="MLE79" s="5"/>
      <c r="MLF79" s="5"/>
      <c r="MLG79" s="5"/>
      <c r="MLH79" s="5"/>
      <c r="MLI79" s="5"/>
      <c r="MLJ79" s="5"/>
      <c r="MLK79" s="5"/>
      <c r="MLL79" s="5"/>
      <c r="MLM79" s="5"/>
      <c r="MLN79" s="5"/>
      <c r="MLO79" s="5"/>
      <c r="MLP79" s="5"/>
      <c r="MLQ79" s="5"/>
      <c r="MLR79" s="5"/>
      <c r="MLS79" s="5"/>
      <c r="MLT79" s="5"/>
      <c r="MLU79" s="5"/>
      <c r="MLV79" s="5"/>
      <c r="MLW79" s="5"/>
      <c r="MLX79" s="5"/>
      <c r="MLY79" s="5"/>
      <c r="MLZ79" s="5"/>
      <c r="MMA79" s="5"/>
      <c r="MMB79" s="5"/>
      <c r="MMC79" s="5"/>
      <c r="MMD79" s="5"/>
      <c r="MME79" s="5"/>
      <c r="MMF79" s="5"/>
      <c r="MMG79" s="5"/>
      <c r="MMH79" s="5"/>
      <c r="MMI79" s="5"/>
      <c r="MMJ79" s="5"/>
      <c r="MMK79" s="5"/>
      <c r="MML79" s="5"/>
      <c r="MMM79" s="5"/>
      <c r="MMN79" s="5"/>
      <c r="MMO79" s="5"/>
      <c r="MMP79" s="5"/>
      <c r="MMQ79" s="5"/>
      <c r="MMR79" s="5"/>
      <c r="MMS79" s="5"/>
      <c r="MMT79" s="5"/>
      <c r="MMU79" s="5"/>
      <c r="MMV79" s="5"/>
      <c r="MMW79" s="5"/>
      <c r="MMX79" s="5"/>
      <c r="MMY79" s="5"/>
      <c r="MMZ79" s="5"/>
      <c r="MNA79" s="5"/>
      <c r="MNB79" s="5"/>
      <c r="MNC79" s="5"/>
      <c r="MND79" s="5"/>
      <c r="MNE79" s="5"/>
      <c r="MNF79" s="5"/>
      <c r="MNG79" s="5"/>
      <c r="MNH79" s="5"/>
      <c r="MNI79" s="5"/>
      <c r="MNJ79" s="5"/>
      <c r="MNK79" s="5"/>
      <c r="MNL79" s="5"/>
      <c r="MNM79" s="5"/>
      <c r="MNN79" s="5"/>
      <c r="MNO79" s="5"/>
      <c r="MNP79" s="5"/>
      <c r="MNQ79" s="5"/>
      <c r="MNR79" s="5"/>
      <c r="MNS79" s="5"/>
      <c r="MNT79" s="5"/>
      <c r="MNU79" s="5"/>
      <c r="MNV79" s="5"/>
      <c r="MNW79" s="5"/>
      <c r="MNX79" s="5"/>
      <c r="MNY79" s="5"/>
      <c r="MNZ79" s="5"/>
      <c r="MOA79" s="5"/>
      <c r="MOB79" s="5"/>
      <c r="MOC79" s="5"/>
      <c r="MOD79" s="5"/>
      <c r="MOE79" s="5"/>
      <c r="MOF79" s="5"/>
      <c r="MOG79" s="5"/>
      <c r="MOH79" s="5"/>
      <c r="MOI79" s="5"/>
      <c r="MOJ79" s="5"/>
      <c r="MOK79" s="5"/>
      <c r="MOL79" s="5"/>
      <c r="MOM79" s="5"/>
      <c r="MON79" s="5"/>
      <c r="MOO79" s="5"/>
      <c r="MOP79" s="5"/>
      <c r="MOQ79" s="5"/>
      <c r="MOR79" s="5"/>
      <c r="MOS79" s="5"/>
      <c r="MOT79" s="5"/>
      <c r="MOU79" s="5"/>
      <c r="MOV79" s="5"/>
      <c r="MOW79" s="5"/>
      <c r="MOX79" s="5"/>
      <c r="MOY79" s="5"/>
      <c r="MOZ79" s="5"/>
      <c r="MPA79" s="5"/>
      <c r="MPB79" s="5"/>
      <c r="MPC79" s="5"/>
      <c r="MPD79" s="5"/>
      <c r="MPE79" s="5"/>
      <c r="MPF79" s="5"/>
      <c r="MPG79" s="5"/>
      <c r="MPH79" s="5"/>
      <c r="MPI79" s="5"/>
      <c r="MPJ79" s="5"/>
      <c r="MPK79" s="5"/>
      <c r="MPL79" s="5"/>
      <c r="MPM79" s="5"/>
      <c r="MPN79" s="5"/>
      <c r="MPO79" s="5"/>
      <c r="MPP79" s="5"/>
      <c r="MPQ79" s="5"/>
      <c r="MPR79" s="5"/>
      <c r="MPS79" s="5"/>
      <c r="MPT79" s="5"/>
      <c r="MPU79" s="5"/>
      <c r="MPV79" s="5"/>
      <c r="MPW79" s="5"/>
      <c r="MPX79" s="5"/>
      <c r="MPY79" s="5"/>
      <c r="MPZ79" s="5"/>
      <c r="MQA79" s="5"/>
      <c r="MQB79" s="5"/>
      <c r="MQC79" s="5"/>
      <c r="MQD79" s="5"/>
      <c r="MQE79" s="5"/>
      <c r="MQF79" s="5"/>
      <c r="MQG79" s="5"/>
      <c r="MQH79" s="5"/>
      <c r="MQI79" s="5"/>
      <c r="MQJ79" s="5"/>
      <c r="MQK79" s="5"/>
      <c r="MQL79" s="5"/>
      <c r="MQM79" s="5"/>
      <c r="MQN79" s="5"/>
      <c r="MQO79" s="5"/>
      <c r="MQP79" s="5"/>
      <c r="MQQ79" s="5"/>
      <c r="MQR79" s="5"/>
      <c r="MQS79" s="5"/>
      <c r="MQT79" s="5"/>
      <c r="MQU79" s="5"/>
      <c r="MQV79" s="5"/>
      <c r="MQW79" s="5"/>
      <c r="MQX79" s="5"/>
      <c r="MQY79" s="5"/>
      <c r="MQZ79" s="5"/>
      <c r="MRA79" s="5"/>
      <c r="MRB79" s="5"/>
      <c r="MRC79" s="5"/>
      <c r="MRD79" s="5"/>
      <c r="MRE79" s="5"/>
      <c r="MRF79" s="5"/>
      <c r="MRG79" s="5"/>
      <c r="MRH79" s="5"/>
      <c r="MRI79" s="5"/>
      <c r="MRJ79" s="5"/>
      <c r="MRK79" s="5"/>
      <c r="MRL79" s="5"/>
      <c r="MRM79" s="5"/>
      <c r="MRN79" s="5"/>
      <c r="MRO79" s="5"/>
      <c r="MRP79" s="5"/>
      <c r="MRQ79" s="5"/>
      <c r="MRR79" s="5"/>
      <c r="MRS79" s="5"/>
      <c r="MRT79" s="5"/>
      <c r="MRU79" s="5"/>
      <c r="MRV79" s="5"/>
      <c r="MRW79" s="5"/>
      <c r="MRX79" s="5"/>
      <c r="MRY79" s="5"/>
      <c r="MRZ79" s="5"/>
      <c r="MSA79" s="5"/>
      <c r="MSB79" s="5"/>
      <c r="MSC79" s="5"/>
      <c r="MSD79" s="5"/>
      <c r="MSE79" s="5"/>
      <c r="MSF79" s="5"/>
      <c r="MSG79" s="5"/>
      <c r="MSH79" s="5"/>
      <c r="MSI79" s="5"/>
      <c r="MSJ79" s="5"/>
      <c r="MSK79" s="5"/>
      <c r="MSL79" s="5"/>
      <c r="MSM79" s="5"/>
      <c r="MSN79" s="5"/>
      <c r="MSO79" s="5"/>
      <c r="MSP79" s="5"/>
      <c r="MSQ79" s="5"/>
      <c r="MSR79" s="5"/>
      <c r="MSS79" s="5"/>
      <c r="MST79" s="5"/>
      <c r="MSU79" s="5"/>
      <c r="MSV79" s="5"/>
      <c r="MSW79" s="5"/>
      <c r="MSX79" s="5"/>
      <c r="MSY79" s="5"/>
      <c r="MSZ79" s="5"/>
      <c r="MTA79" s="5"/>
      <c r="MTB79" s="5"/>
      <c r="MTC79" s="5"/>
      <c r="MTD79" s="5"/>
      <c r="MTE79" s="5"/>
      <c r="MTF79" s="5"/>
      <c r="MTG79" s="5"/>
      <c r="MTH79" s="5"/>
      <c r="MTI79" s="5"/>
      <c r="MTJ79" s="5"/>
      <c r="MTK79" s="5"/>
      <c r="MTL79" s="5"/>
      <c r="MTM79" s="5"/>
      <c r="MTN79" s="5"/>
      <c r="MTO79" s="5"/>
      <c r="MTP79" s="5"/>
      <c r="MTQ79" s="5"/>
      <c r="MTR79" s="5"/>
      <c r="MTS79" s="5"/>
      <c r="MTT79" s="5"/>
      <c r="MTU79" s="5"/>
      <c r="MTV79" s="5"/>
      <c r="MTW79" s="5"/>
      <c r="MTX79" s="5"/>
      <c r="MTY79" s="5"/>
      <c r="MTZ79" s="5"/>
      <c r="MUA79" s="5"/>
      <c r="MUB79" s="5"/>
      <c r="MUC79" s="5"/>
      <c r="MUD79" s="5"/>
      <c r="MUE79" s="5"/>
      <c r="MUF79" s="5"/>
      <c r="MUG79" s="5"/>
      <c r="MUH79" s="5"/>
      <c r="MUI79" s="5"/>
      <c r="MUJ79" s="5"/>
      <c r="MUK79" s="5"/>
      <c r="MUL79" s="5"/>
      <c r="MUM79" s="5"/>
      <c r="MUN79" s="5"/>
      <c r="MUO79" s="5"/>
      <c r="MUP79" s="5"/>
      <c r="MUQ79" s="5"/>
      <c r="MUR79" s="5"/>
      <c r="MUS79" s="5"/>
      <c r="MUT79" s="5"/>
      <c r="MUU79" s="5"/>
      <c r="MUV79" s="5"/>
      <c r="MUW79" s="5"/>
      <c r="MUX79" s="5"/>
      <c r="MUY79" s="5"/>
      <c r="MUZ79" s="5"/>
      <c r="MVA79" s="5"/>
      <c r="MVB79" s="5"/>
      <c r="MVC79" s="5"/>
      <c r="MVD79" s="5"/>
      <c r="MVE79" s="5"/>
      <c r="MVF79" s="5"/>
      <c r="MVG79" s="5"/>
      <c r="MVH79" s="5"/>
      <c r="MVI79" s="5"/>
      <c r="MVJ79" s="5"/>
      <c r="MVK79" s="5"/>
      <c r="MVL79" s="5"/>
      <c r="MVM79" s="5"/>
      <c r="MVN79" s="5"/>
      <c r="MVO79" s="5"/>
      <c r="MVP79" s="5"/>
      <c r="MVQ79" s="5"/>
      <c r="MVR79" s="5"/>
      <c r="MVS79" s="5"/>
      <c r="MVT79" s="5"/>
      <c r="MVU79" s="5"/>
      <c r="MVV79" s="5"/>
      <c r="MVW79" s="5"/>
      <c r="MVX79" s="5"/>
      <c r="MVY79" s="5"/>
      <c r="MVZ79" s="5"/>
      <c r="MWA79" s="5"/>
      <c r="MWB79" s="5"/>
      <c r="MWC79" s="5"/>
      <c r="MWD79" s="5"/>
      <c r="MWE79" s="5"/>
      <c r="MWF79" s="5"/>
      <c r="MWG79" s="5"/>
      <c r="MWH79" s="5"/>
      <c r="MWI79" s="5"/>
      <c r="MWJ79" s="5"/>
      <c r="MWK79" s="5"/>
      <c r="MWL79" s="5"/>
      <c r="MWM79" s="5"/>
      <c r="MWN79" s="5"/>
      <c r="MWO79" s="5"/>
      <c r="MWP79" s="5"/>
      <c r="MWQ79" s="5"/>
      <c r="MWR79" s="5"/>
      <c r="MWS79" s="5"/>
      <c r="MWT79" s="5"/>
      <c r="MWU79" s="5"/>
      <c r="MWV79" s="5"/>
      <c r="MWW79" s="5"/>
      <c r="MWX79" s="5"/>
      <c r="MWY79" s="5"/>
      <c r="MWZ79" s="5"/>
      <c r="MXA79" s="5"/>
      <c r="MXB79" s="5"/>
      <c r="MXC79" s="5"/>
      <c r="MXD79" s="5"/>
      <c r="MXE79" s="5"/>
      <c r="MXF79" s="5"/>
      <c r="MXG79" s="5"/>
      <c r="MXH79" s="5"/>
      <c r="MXI79" s="5"/>
      <c r="MXJ79" s="5"/>
      <c r="MXK79" s="5"/>
      <c r="MXL79" s="5"/>
      <c r="MXM79" s="5"/>
      <c r="MXN79" s="5"/>
      <c r="MXO79" s="5"/>
      <c r="MXP79" s="5"/>
      <c r="MXQ79" s="5"/>
      <c r="MXR79" s="5"/>
      <c r="MXS79" s="5"/>
      <c r="MXT79" s="5"/>
      <c r="MXU79" s="5"/>
      <c r="MXV79" s="5"/>
      <c r="MXW79" s="5"/>
      <c r="MXX79" s="5"/>
      <c r="MXY79" s="5"/>
      <c r="MXZ79" s="5"/>
      <c r="MYA79" s="5"/>
      <c r="MYB79" s="5"/>
      <c r="MYC79" s="5"/>
      <c r="MYD79" s="5"/>
      <c r="MYE79" s="5"/>
      <c r="MYF79" s="5"/>
      <c r="MYG79" s="5"/>
      <c r="MYH79" s="5"/>
      <c r="MYI79" s="5"/>
      <c r="MYJ79" s="5"/>
      <c r="MYK79" s="5"/>
      <c r="MYL79" s="5"/>
      <c r="MYM79" s="5"/>
      <c r="MYN79" s="5"/>
      <c r="MYO79" s="5"/>
      <c r="MYP79" s="5"/>
      <c r="MYQ79" s="5"/>
      <c r="MYR79" s="5"/>
      <c r="MYS79" s="5"/>
      <c r="MYT79" s="5"/>
      <c r="MYU79" s="5"/>
      <c r="MYV79" s="5"/>
      <c r="MYW79" s="5"/>
      <c r="MYX79" s="5"/>
      <c r="MYY79" s="5"/>
      <c r="MYZ79" s="5"/>
      <c r="MZA79" s="5"/>
      <c r="MZB79" s="5"/>
      <c r="MZC79" s="5"/>
      <c r="MZD79" s="5"/>
      <c r="MZE79" s="5"/>
      <c r="MZF79" s="5"/>
      <c r="MZG79" s="5"/>
      <c r="MZH79" s="5"/>
      <c r="MZI79" s="5"/>
      <c r="MZJ79" s="5"/>
      <c r="MZK79" s="5"/>
      <c r="MZL79" s="5"/>
      <c r="MZM79" s="5"/>
      <c r="MZN79" s="5"/>
      <c r="MZO79" s="5"/>
      <c r="MZP79" s="5"/>
      <c r="MZQ79" s="5"/>
      <c r="MZR79" s="5"/>
      <c r="MZS79" s="5"/>
      <c r="MZT79" s="5"/>
      <c r="MZU79" s="5"/>
      <c r="MZV79" s="5"/>
      <c r="MZW79" s="5"/>
      <c r="MZX79" s="5"/>
      <c r="MZY79" s="5"/>
      <c r="MZZ79" s="5"/>
      <c r="NAA79" s="5"/>
      <c r="NAB79" s="5"/>
      <c r="NAC79" s="5"/>
      <c r="NAD79" s="5"/>
      <c r="NAE79" s="5"/>
      <c r="NAF79" s="5"/>
      <c r="NAG79" s="5"/>
      <c r="NAH79" s="5"/>
      <c r="NAI79" s="5"/>
      <c r="NAJ79" s="5"/>
      <c r="NAK79" s="5"/>
      <c r="NAL79" s="5"/>
      <c r="NAM79" s="5"/>
      <c r="NAN79" s="5"/>
      <c r="NAO79" s="5"/>
      <c r="NAP79" s="5"/>
      <c r="NAQ79" s="5"/>
      <c r="NAR79" s="5"/>
      <c r="NAS79" s="5"/>
      <c r="NAT79" s="5"/>
      <c r="NAU79" s="5"/>
      <c r="NAV79" s="5"/>
      <c r="NAW79" s="5"/>
      <c r="NAX79" s="5"/>
      <c r="NAY79" s="5"/>
      <c r="NAZ79" s="5"/>
      <c r="NBA79" s="5"/>
      <c r="NBB79" s="5"/>
      <c r="NBC79" s="5"/>
      <c r="NBD79" s="5"/>
      <c r="NBE79" s="5"/>
      <c r="NBF79" s="5"/>
      <c r="NBG79" s="5"/>
      <c r="NBH79" s="5"/>
      <c r="NBI79" s="5"/>
      <c r="NBJ79" s="5"/>
      <c r="NBK79" s="5"/>
      <c r="NBL79" s="5"/>
      <c r="NBM79" s="5"/>
      <c r="NBN79" s="5"/>
      <c r="NBO79" s="5"/>
      <c r="NBP79" s="5"/>
      <c r="NBQ79" s="5"/>
      <c r="NBR79" s="5"/>
      <c r="NBS79" s="5"/>
      <c r="NBT79" s="5"/>
      <c r="NBU79" s="5"/>
      <c r="NBV79" s="5"/>
      <c r="NBW79" s="5"/>
      <c r="NBX79" s="5"/>
      <c r="NBY79" s="5"/>
      <c r="NBZ79" s="5"/>
      <c r="NCA79" s="5"/>
      <c r="NCB79" s="5"/>
      <c r="NCC79" s="5"/>
      <c r="NCD79" s="5"/>
      <c r="NCE79" s="5"/>
      <c r="NCF79" s="5"/>
      <c r="NCG79" s="5"/>
      <c r="NCH79" s="5"/>
      <c r="NCI79" s="5"/>
      <c r="NCJ79" s="5"/>
      <c r="NCK79" s="5"/>
      <c r="NCL79" s="5"/>
      <c r="NCM79" s="5"/>
      <c r="NCN79" s="5"/>
      <c r="NCO79" s="5"/>
      <c r="NCP79" s="5"/>
      <c r="NCQ79" s="5"/>
      <c r="NCR79" s="5"/>
      <c r="NCS79" s="5"/>
      <c r="NCT79" s="5"/>
      <c r="NCU79" s="5"/>
      <c r="NCV79" s="5"/>
      <c r="NCW79" s="5"/>
      <c r="NCX79" s="5"/>
      <c r="NCY79" s="5"/>
      <c r="NCZ79" s="5"/>
      <c r="NDA79" s="5"/>
      <c r="NDB79" s="5"/>
      <c r="NDC79" s="5"/>
      <c r="NDD79" s="5"/>
      <c r="NDE79" s="5"/>
      <c r="NDF79" s="5"/>
      <c r="NDG79" s="5"/>
      <c r="NDH79" s="5"/>
      <c r="NDI79" s="5"/>
      <c r="NDJ79" s="5"/>
      <c r="NDK79" s="5"/>
      <c r="NDL79" s="5"/>
      <c r="NDM79" s="5"/>
      <c r="NDN79" s="5"/>
      <c r="NDO79" s="5"/>
      <c r="NDP79" s="5"/>
      <c r="NDQ79" s="5"/>
      <c r="NDR79" s="5"/>
      <c r="NDS79" s="5"/>
      <c r="NDT79" s="5"/>
      <c r="NDU79" s="5"/>
      <c r="NDV79" s="5"/>
      <c r="NDW79" s="5"/>
      <c r="NDX79" s="5"/>
      <c r="NDY79" s="5"/>
      <c r="NDZ79" s="5"/>
      <c r="NEA79" s="5"/>
      <c r="NEB79" s="5"/>
      <c r="NEC79" s="5"/>
      <c r="NED79" s="5"/>
      <c r="NEE79" s="5"/>
      <c r="NEF79" s="5"/>
      <c r="NEG79" s="5"/>
      <c r="NEH79" s="5"/>
      <c r="NEI79" s="5"/>
      <c r="NEJ79" s="5"/>
      <c r="NEK79" s="5"/>
      <c r="NEL79" s="5"/>
      <c r="NEM79" s="5"/>
      <c r="NEN79" s="5"/>
      <c r="NEO79" s="5"/>
      <c r="NEP79" s="5"/>
      <c r="NEQ79" s="5"/>
      <c r="NER79" s="5"/>
      <c r="NES79" s="5"/>
      <c r="NET79" s="5"/>
      <c r="NEU79" s="5"/>
      <c r="NEV79" s="5"/>
      <c r="NEW79" s="5"/>
      <c r="NEX79" s="5"/>
      <c r="NEY79" s="5"/>
      <c r="NEZ79" s="5"/>
      <c r="NFA79" s="5"/>
      <c r="NFB79" s="5"/>
      <c r="NFC79" s="5"/>
      <c r="NFD79" s="5"/>
      <c r="NFE79" s="5"/>
      <c r="NFF79" s="5"/>
      <c r="NFG79" s="5"/>
      <c r="NFH79" s="5"/>
      <c r="NFI79" s="5"/>
      <c r="NFJ79" s="5"/>
      <c r="NFK79" s="5"/>
      <c r="NFL79" s="5"/>
      <c r="NFM79" s="5"/>
      <c r="NFN79" s="5"/>
      <c r="NFO79" s="5"/>
      <c r="NFP79" s="5"/>
      <c r="NFQ79" s="5"/>
      <c r="NFR79" s="5"/>
      <c r="NFS79" s="5"/>
      <c r="NFT79" s="5"/>
      <c r="NFU79" s="5"/>
      <c r="NFV79" s="5"/>
      <c r="NFW79" s="5"/>
      <c r="NFX79" s="5"/>
      <c r="NFY79" s="5"/>
      <c r="NFZ79" s="5"/>
      <c r="NGA79" s="5"/>
      <c r="NGB79" s="5"/>
      <c r="NGC79" s="5"/>
      <c r="NGD79" s="5"/>
      <c r="NGE79" s="5"/>
      <c r="NGF79" s="5"/>
      <c r="NGG79" s="5"/>
      <c r="NGH79" s="5"/>
      <c r="NGI79" s="5"/>
      <c r="NGJ79" s="5"/>
      <c r="NGK79" s="5"/>
      <c r="NGL79" s="5"/>
      <c r="NGM79" s="5"/>
      <c r="NGN79" s="5"/>
      <c r="NGO79" s="5"/>
      <c r="NGP79" s="5"/>
      <c r="NGQ79" s="5"/>
      <c r="NGR79" s="5"/>
      <c r="NGS79" s="5"/>
      <c r="NGT79" s="5"/>
      <c r="NGU79" s="5"/>
      <c r="NGV79" s="5"/>
      <c r="NGW79" s="5"/>
      <c r="NGX79" s="5"/>
      <c r="NGY79" s="5"/>
      <c r="NGZ79" s="5"/>
      <c r="NHA79" s="5"/>
      <c r="NHB79" s="5"/>
      <c r="NHC79" s="5"/>
      <c r="NHD79" s="5"/>
      <c r="NHE79" s="5"/>
      <c r="NHF79" s="5"/>
      <c r="NHG79" s="5"/>
      <c r="NHH79" s="5"/>
      <c r="NHI79" s="5"/>
      <c r="NHJ79" s="5"/>
      <c r="NHK79" s="5"/>
      <c r="NHL79" s="5"/>
      <c r="NHM79" s="5"/>
      <c r="NHN79" s="5"/>
      <c r="NHO79" s="5"/>
      <c r="NHP79" s="5"/>
      <c r="NHQ79" s="5"/>
      <c r="NHR79" s="5"/>
      <c r="NHS79" s="5"/>
      <c r="NHT79" s="5"/>
      <c r="NHU79" s="5"/>
      <c r="NHV79" s="5"/>
      <c r="NHW79" s="5"/>
      <c r="NHX79" s="5"/>
      <c r="NHY79" s="5"/>
      <c r="NHZ79" s="5"/>
      <c r="NIA79" s="5"/>
      <c r="NIB79" s="5"/>
      <c r="NIC79" s="5"/>
      <c r="NID79" s="5"/>
      <c r="NIE79" s="5"/>
      <c r="NIF79" s="5"/>
      <c r="NIG79" s="5"/>
      <c r="NIH79" s="5"/>
      <c r="NII79" s="5"/>
      <c r="NIJ79" s="5"/>
      <c r="NIK79" s="5"/>
      <c r="NIL79" s="5"/>
      <c r="NIM79" s="5"/>
      <c r="NIN79" s="5"/>
      <c r="NIO79" s="5"/>
      <c r="NIP79" s="5"/>
      <c r="NIQ79" s="5"/>
      <c r="NIR79" s="5"/>
      <c r="NIS79" s="5"/>
      <c r="NIT79" s="5"/>
      <c r="NIU79" s="5"/>
      <c r="NIV79" s="5"/>
      <c r="NIW79" s="5"/>
      <c r="NIX79" s="5"/>
      <c r="NIY79" s="5"/>
      <c r="NIZ79" s="5"/>
      <c r="NJA79" s="5"/>
      <c r="NJB79" s="5"/>
      <c r="NJC79" s="5"/>
      <c r="NJD79" s="5"/>
      <c r="NJE79" s="5"/>
      <c r="NJF79" s="5"/>
      <c r="NJG79" s="5"/>
      <c r="NJH79" s="5"/>
      <c r="NJI79" s="5"/>
      <c r="NJJ79" s="5"/>
      <c r="NJK79" s="5"/>
      <c r="NJL79" s="5"/>
      <c r="NJM79" s="5"/>
      <c r="NJN79" s="5"/>
      <c r="NJO79" s="5"/>
      <c r="NJP79" s="5"/>
      <c r="NJQ79" s="5"/>
      <c r="NJR79" s="5"/>
      <c r="NJS79" s="5"/>
      <c r="NJT79" s="5"/>
      <c r="NJU79" s="5"/>
      <c r="NJV79" s="5"/>
      <c r="NJW79" s="5"/>
      <c r="NJX79" s="5"/>
      <c r="NJY79" s="5"/>
      <c r="NJZ79" s="5"/>
      <c r="NKA79" s="5"/>
      <c r="NKB79" s="5"/>
      <c r="NKC79" s="5"/>
      <c r="NKD79" s="5"/>
      <c r="NKE79" s="5"/>
      <c r="NKF79" s="5"/>
      <c r="NKG79" s="5"/>
      <c r="NKH79" s="5"/>
      <c r="NKI79" s="5"/>
      <c r="NKJ79" s="5"/>
      <c r="NKK79" s="5"/>
      <c r="NKL79" s="5"/>
      <c r="NKM79" s="5"/>
      <c r="NKN79" s="5"/>
      <c r="NKO79" s="5"/>
      <c r="NKP79" s="5"/>
      <c r="NKQ79" s="5"/>
      <c r="NKR79" s="5"/>
      <c r="NKS79" s="5"/>
      <c r="NKT79" s="5"/>
      <c r="NKU79" s="5"/>
      <c r="NKV79" s="5"/>
      <c r="NKW79" s="5"/>
      <c r="NKX79" s="5"/>
      <c r="NKY79" s="5"/>
      <c r="NKZ79" s="5"/>
      <c r="NLA79" s="5"/>
      <c r="NLB79" s="5"/>
      <c r="NLC79" s="5"/>
      <c r="NLD79" s="5"/>
      <c r="NLE79" s="5"/>
      <c r="NLF79" s="5"/>
      <c r="NLG79" s="5"/>
      <c r="NLH79" s="5"/>
      <c r="NLI79" s="5"/>
      <c r="NLJ79" s="5"/>
      <c r="NLK79" s="5"/>
      <c r="NLL79" s="5"/>
      <c r="NLM79" s="5"/>
      <c r="NLN79" s="5"/>
      <c r="NLO79" s="5"/>
      <c r="NLP79" s="5"/>
      <c r="NLQ79" s="5"/>
      <c r="NLR79" s="5"/>
      <c r="NLS79" s="5"/>
      <c r="NLT79" s="5"/>
      <c r="NLU79" s="5"/>
      <c r="NLV79" s="5"/>
      <c r="NLW79" s="5"/>
      <c r="NLX79" s="5"/>
      <c r="NLY79" s="5"/>
      <c r="NLZ79" s="5"/>
      <c r="NMA79" s="5"/>
      <c r="NMB79" s="5"/>
      <c r="NMC79" s="5"/>
      <c r="NMD79" s="5"/>
      <c r="NME79" s="5"/>
      <c r="NMF79" s="5"/>
      <c r="NMG79" s="5"/>
      <c r="NMH79" s="5"/>
      <c r="NMI79" s="5"/>
      <c r="NMJ79" s="5"/>
      <c r="NMK79" s="5"/>
      <c r="NML79" s="5"/>
      <c r="NMM79" s="5"/>
      <c r="NMN79" s="5"/>
      <c r="NMO79" s="5"/>
      <c r="NMP79" s="5"/>
      <c r="NMQ79" s="5"/>
      <c r="NMR79" s="5"/>
      <c r="NMS79" s="5"/>
      <c r="NMT79" s="5"/>
      <c r="NMU79" s="5"/>
      <c r="NMV79" s="5"/>
      <c r="NMW79" s="5"/>
      <c r="NMX79" s="5"/>
      <c r="NMY79" s="5"/>
      <c r="NMZ79" s="5"/>
      <c r="NNA79" s="5"/>
      <c r="NNB79" s="5"/>
      <c r="NNC79" s="5"/>
      <c r="NND79" s="5"/>
      <c r="NNE79" s="5"/>
      <c r="NNF79" s="5"/>
      <c r="NNG79" s="5"/>
      <c r="NNH79" s="5"/>
      <c r="NNI79" s="5"/>
      <c r="NNJ79" s="5"/>
      <c r="NNK79" s="5"/>
      <c r="NNL79" s="5"/>
      <c r="NNM79" s="5"/>
      <c r="NNN79" s="5"/>
      <c r="NNO79" s="5"/>
      <c r="NNP79" s="5"/>
      <c r="NNQ79" s="5"/>
      <c r="NNR79" s="5"/>
      <c r="NNS79" s="5"/>
      <c r="NNT79" s="5"/>
      <c r="NNU79" s="5"/>
      <c r="NNV79" s="5"/>
      <c r="NNW79" s="5"/>
      <c r="NNX79" s="5"/>
      <c r="NNY79" s="5"/>
      <c r="NNZ79" s="5"/>
      <c r="NOA79" s="5"/>
      <c r="NOB79" s="5"/>
      <c r="NOC79" s="5"/>
      <c r="NOD79" s="5"/>
      <c r="NOE79" s="5"/>
      <c r="NOF79" s="5"/>
      <c r="NOG79" s="5"/>
      <c r="NOH79" s="5"/>
      <c r="NOI79" s="5"/>
      <c r="NOJ79" s="5"/>
      <c r="NOK79" s="5"/>
      <c r="NOL79" s="5"/>
      <c r="NOM79" s="5"/>
      <c r="NON79" s="5"/>
      <c r="NOO79" s="5"/>
      <c r="NOP79" s="5"/>
      <c r="NOQ79" s="5"/>
      <c r="NOR79" s="5"/>
      <c r="NOS79" s="5"/>
      <c r="NOT79" s="5"/>
      <c r="NOU79" s="5"/>
      <c r="NOV79" s="5"/>
      <c r="NOW79" s="5"/>
      <c r="NOX79" s="5"/>
      <c r="NOY79" s="5"/>
      <c r="NOZ79" s="5"/>
      <c r="NPA79" s="5"/>
      <c r="NPB79" s="5"/>
      <c r="NPC79" s="5"/>
      <c r="NPD79" s="5"/>
      <c r="NPE79" s="5"/>
      <c r="NPF79" s="5"/>
      <c r="NPG79" s="5"/>
      <c r="NPH79" s="5"/>
      <c r="NPI79" s="5"/>
      <c r="NPJ79" s="5"/>
      <c r="NPK79" s="5"/>
      <c r="NPL79" s="5"/>
      <c r="NPM79" s="5"/>
      <c r="NPN79" s="5"/>
      <c r="NPO79" s="5"/>
      <c r="NPP79" s="5"/>
      <c r="NPQ79" s="5"/>
      <c r="NPR79" s="5"/>
      <c r="NPS79" s="5"/>
      <c r="NPT79" s="5"/>
      <c r="NPU79" s="5"/>
      <c r="NPV79" s="5"/>
      <c r="NPW79" s="5"/>
      <c r="NPX79" s="5"/>
      <c r="NPY79" s="5"/>
      <c r="NPZ79" s="5"/>
      <c r="NQA79" s="5"/>
      <c r="NQB79" s="5"/>
      <c r="NQC79" s="5"/>
      <c r="NQD79" s="5"/>
      <c r="NQE79" s="5"/>
      <c r="NQF79" s="5"/>
      <c r="NQG79" s="5"/>
      <c r="NQH79" s="5"/>
      <c r="NQI79" s="5"/>
      <c r="NQJ79" s="5"/>
      <c r="NQK79" s="5"/>
      <c r="NQL79" s="5"/>
      <c r="NQM79" s="5"/>
      <c r="NQN79" s="5"/>
      <c r="NQO79" s="5"/>
      <c r="NQP79" s="5"/>
      <c r="NQQ79" s="5"/>
      <c r="NQR79" s="5"/>
      <c r="NQS79" s="5"/>
      <c r="NQT79" s="5"/>
      <c r="NQU79" s="5"/>
      <c r="NQV79" s="5"/>
      <c r="NQW79" s="5"/>
      <c r="NQX79" s="5"/>
      <c r="NQY79" s="5"/>
      <c r="NQZ79" s="5"/>
      <c r="NRA79" s="5"/>
      <c r="NRB79" s="5"/>
      <c r="NRC79" s="5"/>
      <c r="NRD79" s="5"/>
      <c r="NRE79" s="5"/>
      <c r="NRF79" s="5"/>
      <c r="NRG79" s="5"/>
      <c r="NRH79" s="5"/>
      <c r="NRI79" s="5"/>
      <c r="NRJ79" s="5"/>
      <c r="NRK79" s="5"/>
      <c r="NRL79" s="5"/>
      <c r="NRM79" s="5"/>
      <c r="NRN79" s="5"/>
      <c r="NRO79" s="5"/>
      <c r="NRP79" s="5"/>
      <c r="NRQ79" s="5"/>
      <c r="NRR79" s="5"/>
      <c r="NRS79" s="5"/>
      <c r="NRT79" s="5"/>
      <c r="NRU79" s="5"/>
      <c r="NRV79" s="5"/>
      <c r="NRW79" s="5"/>
      <c r="NRX79" s="5"/>
      <c r="NRY79" s="5"/>
      <c r="NRZ79" s="5"/>
      <c r="NSA79" s="5"/>
      <c r="NSB79" s="5"/>
      <c r="NSC79" s="5"/>
      <c r="NSD79" s="5"/>
      <c r="NSE79" s="5"/>
      <c r="NSF79" s="5"/>
      <c r="NSG79" s="5"/>
      <c r="NSH79" s="5"/>
      <c r="NSI79" s="5"/>
      <c r="NSJ79" s="5"/>
      <c r="NSK79" s="5"/>
      <c r="NSL79" s="5"/>
      <c r="NSM79" s="5"/>
      <c r="NSN79" s="5"/>
      <c r="NSO79" s="5"/>
      <c r="NSP79" s="5"/>
      <c r="NSQ79" s="5"/>
      <c r="NSR79" s="5"/>
      <c r="NSS79" s="5"/>
      <c r="NST79" s="5"/>
      <c r="NSU79" s="5"/>
      <c r="NSV79" s="5"/>
      <c r="NSW79" s="5"/>
      <c r="NSX79" s="5"/>
      <c r="NSY79" s="5"/>
      <c r="NSZ79" s="5"/>
      <c r="NTA79" s="5"/>
      <c r="NTB79" s="5"/>
      <c r="NTC79" s="5"/>
      <c r="NTD79" s="5"/>
      <c r="NTE79" s="5"/>
      <c r="NTF79" s="5"/>
      <c r="NTG79" s="5"/>
      <c r="NTH79" s="5"/>
      <c r="NTI79" s="5"/>
      <c r="NTJ79" s="5"/>
      <c r="NTK79" s="5"/>
      <c r="NTL79" s="5"/>
      <c r="NTM79" s="5"/>
      <c r="NTN79" s="5"/>
      <c r="NTO79" s="5"/>
      <c r="NTP79" s="5"/>
      <c r="NTQ79" s="5"/>
      <c r="NTR79" s="5"/>
      <c r="NTS79" s="5"/>
      <c r="NTT79" s="5"/>
      <c r="NTU79" s="5"/>
      <c r="NTV79" s="5"/>
      <c r="NTW79" s="5"/>
      <c r="NTX79" s="5"/>
      <c r="NTY79" s="5"/>
      <c r="NTZ79" s="5"/>
      <c r="NUA79" s="5"/>
      <c r="NUB79" s="5"/>
      <c r="NUC79" s="5"/>
      <c r="NUD79" s="5"/>
      <c r="NUE79" s="5"/>
      <c r="NUF79" s="5"/>
      <c r="NUG79" s="5"/>
      <c r="NUH79" s="5"/>
      <c r="NUI79" s="5"/>
      <c r="NUJ79" s="5"/>
      <c r="NUK79" s="5"/>
      <c r="NUL79" s="5"/>
      <c r="NUM79" s="5"/>
      <c r="NUN79" s="5"/>
      <c r="NUO79" s="5"/>
      <c r="NUP79" s="5"/>
      <c r="NUQ79" s="5"/>
      <c r="NUR79" s="5"/>
      <c r="NUS79" s="5"/>
      <c r="NUT79" s="5"/>
      <c r="NUU79" s="5"/>
      <c r="NUV79" s="5"/>
      <c r="NUW79" s="5"/>
      <c r="NUX79" s="5"/>
      <c r="NUY79" s="5"/>
      <c r="NUZ79" s="5"/>
      <c r="NVA79" s="5"/>
      <c r="NVB79" s="5"/>
      <c r="NVC79" s="5"/>
      <c r="NVD79" s="5"/>
      <c r="NVE79" s="5"/>
      <c r="NVF79" s="5"/>
      <c r="NVG79" s="5"/>
      <c r="NVH79" s="5"/>
      <c r="NVI79" s="5"/>
      <c r="NVJ79" s="5"/>
      <c r="NVK79" s="5"/>
      <c r="NVL79" s="5"/>
      <c r="NVM79" s="5"/>
      <c r="NVN79" s="5"/>
      <c r="NVO79" s="5"/>
      <c r="NVP79" s="5"/>
      <c r="NVQ79" s="5"/>
      <c r="NVR79" s="5"/>
      <c r="NVS79" s="5"/>
      <c r="NVT79" s="5"/>
      <c r="NVU79" s="5"/>
      <c r="NVV79" s="5"/>
      <c r="NVW79" s="5"/>
      <c r="NVX79" s="5"/>
      <c r="NVY79" s="5"/>
      <c r="NVZ79" s="5"/>
      <c r="NWA79" s="5"/>
      <c r="NWB79" s="5"/>
      <c r="NWC79" s="5"/>
      <c r="NWD79" s="5"/>
      <c r="NWE79" s="5"/>
      <c r="NWF79" s="5"/>
      <c r="NWG79" s="5"/>
      <c r="NWH79" s="5"/>
      <c r="NWI79" s="5"/>
      <c r="NWJ79" s="5"/>
      <c r="NWK79" s="5"/>
      <c r="NWL79" s="5"/>
      <c r="NWM79" s="5"/>
      <c r="NWN79" s="5"/>
      <c r="NWO79" s="5"/>
      <c r="NWP79" s="5"/>
      <c r="NWQ79" s="5"/>
      <c r="NWR79" s="5"/>
      <c r="NWS79" s="5"/>
      <c r="NWT79" s="5"/>
      <c r="NWU79" s="5"/>
      <c r="NWV79" s="5"/>
      <c r="NWW79" s="5"/>
      <c r="NWX79" s="5"/>
      <c r="NWY79" s="5"/>
      <c r="NWZ79" s="5"/>
      <c r="NXA79" s="5"/>
      <c r="NXB79" s="5"/>
      <c r="NXC79" s="5"/>
      <c r="NXD79" s="5"/>
      <c r="NXE79" s="5"/>
      <c r="NXF79" s="5"/>
      <c r="NXG79" s="5"/>
      <c r="NXH79" s="5"/>
      <c r="NXI79" s="5"/>
      <c r="NXJ79" s="5"/>
      <c r="NXK79" s="5"/>
      <c r="NXL79" s="5"/>
      <c r="NXM79" s="5"/>
      <c r="NXN79" s="5"/>
      <c r="NXO79" s="5"/>
      <c r="NXP79" s="5"/>
      <c r="NXQ79" s="5"/>
      <c r="NXR79" s="5"/>
      <c r="NXS79" s="5"/>
      <c r="NXT79" s="5"/>
      <c r="NXU79" s="5"/>
      <c r="NXV79" s="5"/>
      <c r="NXW79" s="5"/>
      <c r="NXX79" s="5"/>
      <c r="NXY79" s="5"/>
      <c r="NXZ79" s="5"/>
      <c r="NYA79" s="5"/>
      <c r="NYB79" s="5"/>
      <c r="NYC79" s="5"/>
      <c r="NYD79" s="5"/>
      <c r="NYE79" s="5"/>
      <c r="NYF79" s="5"/>
      <c r="NYG79" s="5"/>
      <c r="NYH79" s="5"/>
      <c r="NYI79" s="5"/>
      <c r="NYJ79" s="5"/>
      <c r="NYK79" s="5"/>
      <c r="NYL79" s="5"/>
      <c r="NYM79" s="5"/>
      <c r="NYN79" s="5"/>
      <c r="NYO79" s="5"/>
      <c r="NYP79" s="5"/>
      <c r="NYQ79" s="5"/>
      <c r="NYR79" s="5"/>
      <c r="NYS79" s="5"/>
      <c r="NYT79" s="5"/>
      <c r="NYU79" s="5"/>
      <c r="NYV79" s="5"/>
      <c r="NYW79" s="5"/>
      <c r="NYX79" s="5"/>
      <c r="NYY79" s="5"/>
      <c r="NYZ79" s="5"/>
      <c r="NZA79" s="5"/>
      <c r="NZB79" s="5"/>
      <c r="NZC79" s="5"/>
      <c r="NZD79" s="5"/>
      <c r="NZE79" s="5"/>
      <c r="NZF79" s="5"/>
      <c r="NZG79" s="5"/>
      <c r="NZH79" s="5"/>
      <c r="NZI79" s="5"/>
      <c r="NZJ79" s="5"/>
      <c r="NZK79" s="5"/>
      <c r="NZL79" s="5"/>
      <c r="NZM79" s="5"/>
      <c r="NZN79" s="5"/>
      <c r="NZO79" s="5"/>
      <c r="NZP79" s="5"/>
      <c r="NZQ79" s="5"/>
      <c r="NZR79" s="5"/>
      <c r="NZS79" s="5"/>
      <c r="NZT79" s="5"/>
      <c r="NZU79" s="5"/>
      <c r="NZV79" s="5"/>
      <c r="NZW79" s="5"/>
      <c r="NZX79" s="5"/>
      <c r="NZY79" s="5"/>
      <c r="NZZ79" s="5"/>
      <c r="OAA79" s="5"/>
      <c r="OAB79" s="5"/>
      <c r="OAC79" s="5"/>
      <c r="OAD79" s="5"/>
      <c r="OAE79" s="5"/>
      <c r="OAF79" s="5"/>
      <c r="OAG79" s="5"/>
      <c r="OAH79" s="5"/>
      <c r="OAI79" s="5"/>
      <c r="OAJ79" s="5"/>
      <c r="OAK79" s="5"/>
      <c r="OAL79" s="5"/>
      <c r="OAM79" s="5"/>
      <c r="OAN79" s="5"/>
      <c r="OAO79" s="5"/>
      <c r="OAP79" s="5"/>
      <c r="OAQ79" s="5"/>
      <c r="OAR79" s="5"/>
      <c r="OAS79" s="5"/>
      <c r="OAT79" s="5"/>
      <c r="OAU79" s="5"/>
      <c r="OAV79" s="5"/>
      <c r="OAW79" s="5"/>
      <c r="OAX79" s="5"/>
      <c r="OAY79" s="5"/>
      <c r="OAZ79" s="5"/>
      <c r="OBA79" s="5"/>
      <c r="OBB79" s="5"/>
      <c r="OBC79" s="5"/>
      <c r="OBD79" s="5"/>
      <c r="OBE79" s="5"/>
      <c r="OBF79" s="5"/>
      <c r="OBG79" s="5"/>
      <c r="OBH79" s="5"/>
      <c r="OBI79" s="5"/>
      <c r="OBJ79" s="5"/>
      <c r="OBK79" s="5"/>
      <c r="OBL79" s="5"/>
      <c r="OBM79" s="5"/>
      <c r="OBN79" s="5"/>
      <c r="OBO79" s="5"/>
      <c r="OBP79" s="5"/>
      <c r="OBQ79" s="5"/>
      <c r="OBR79" s="5"/>
      <c r="OBS79" s="5"/>
      <c r="OBT79" s="5"/>
      <c r="OBU79" s="5"/>
      <c r="OBV79" s="5"/>
      <c r="OBW79" s="5"/>
      <c r="OBX79" s="5"/>
      <c r="OBY79" s="5"/>
      <c r="OBZ79" s="5"/>
      <c r="OCA79" s="5"/>
      <c r="OCB79" s="5"/>
      <c r="OCC79" s="5"/>
      <c r="OCD79" s="5"/>
      <c r="OCE79" s="5"/>
      <c r="OCF79" s="5"/>
      <c r="OCG79" s="5"/>
      <c r="OCH79" s="5"/>
      <c r="OCI79" s="5"/>
      <c r="OCJ79" s="5"/>
      <c r="OCK79" s="5"/>
      <c r="OCL79" s="5"/>
      <c r="OCM79" s="5"/>
      <c r="OCN79" s="5"/>
      <c r="OCO79" s="5"/>
      <c r="OCP79" s="5"/>
      <c r="OCQ79" s="5"/>
      <c r="OCR79" s="5"/>
      <c r="OCS79" s="5"/>
      <c r="OCT79" s="5"/>
      <c r="OCU79" s="5"/>
      <c r="OCV79" s="5"/>
      <c r="OCW79" s="5"/>
      <c r="OCX79" s="5"/>
      <c r="OCY79" s="5"/>
      <c r="OCZ79" s="5"/>
      <c r="ODA79" s="5"/>
      <c r="ODB79" s="5"/>
      <c r="ODC79" s="5"/>
      <c r="ODD79" s="5"/>
      <c r="ODE79" s="5"/>
      <c r="ODF79" s="5"/>
      <c r="ODG79" s="5"/>
      <c r="ODH79" s="5"/>
      <c r="ODI79" s="5"/>
      <c r="ODJ79" s="5"/>
      <c r="ODK79" s="5"/>
      <c r="ODL79" s="5"/>
      <c r="ODM79" s="5"/>
      <c r="ODN79" s="5"/>
      <c r="ODO79" s="5"/>
      <c r="ODP79" s="5"/>
      <c r="ODQ79" s="5"/>
      <c r="ODR79" s="5"/>
      <c r="ODS79" s="5"/>
      <c r="ODT79" s="5"/>
      <c r="ODU79" s="5"/>
      <c r="ODV79" s="5"/>
      <c r="ODW79" s="5"/>
      <c r="ODX79" s="5"/>
      <c r="ODY79" s="5"/>
      <c r="ODZ79" s="5"/>
      <c r="OEA79" s="5"/>
      <c r="OEB79" s="5"/>
      <c r="OEC79" s="5"/>
      <c r="OED79" s="5"/>
      <c r="OEE79" s="5"/>
      <c r="OEF79" s="5"/>
      <c r="OEG79" s="5"/>
      <c r="OEH79" s="5"/>
      <c r="OEI79" s="5"/>
      <c r="OEJ79" s="5"/>
      <c r="OEK79" s="5"/>
      <c r="OEL79" s="5"/>
      <c r="OEM79" s="5"/>
      <c r="OEN79" s="5"/>
      <c r="OEO79" s="5"/>
      <c r="OEP79" s="5"/>
      <c r="OEQ79" s="5"/>
      <c r="OER79" s="5"/>
      <c r="OES79" s="5"/>
      <c r="OET79" s="5"/>
      <c r="OEU79" s="5"/>
      <c r="OEV79" s="5"/>
      <c r="OEW79" s="5"/>
      <c r="OEX79" s="5"/>
      <c r="OEY79" s="5"/>
      <c r="OEZ79" s="5"/>
      <c r="OFA79" s="5"/>
      <c r="OFB79" s="5"/>
      <c r="OFC79" s="5"/>
      <c r="OFD79" s="5"/>
      <c r="OFE79" s="5"/>
      <c r="OFF79" s="5"/>
      <c r="OFG79" s="5"/>
      <c r="OFH79" s="5"/>
      <c r="OFI79" s="5"/>
      <c r="OFJ79" s="5"/>
      <c r="OFK79" s="5"/>
      <c r="OFL79" s="5"/>
      <c r="OFM79" s="5"/>
      <c r="OFN79" s="5"/>
      <c r="OFO79" s="5"/>
      <c r="OFP79" s="5"/>
      <c r="OFQ79" s="5"/>
      <c r="OFR79" s="5"/>
      <c r="OFS79" s="5"/>
      <c r="OFT79" s="5"/>
      <c r="OFU79" s="5"/>
      <c r="OFV79" s="5"/>
      <c r="OFW79" s="5"/>
      <c r="OFX79" s="5"/>
      <c r="OFY79" s="5"/>
      <c r="OFZ79" s="5"/>
      <c r="OGA79" s="5"/>
      <c r="OGB79" s="5"/>
      <c r="OGC79" s="5"/>
      <c r="OGD79" s="5"/>
      <c r="OGE79" s="5"/>
      <c r="OGF79" s="5"/>
      <c r="OGG79" s="5"/>
      <c r="OGH79" s="5"/>
      <c r="OGI79" s="5"/>
      <c r="OGJ79" s="5"/>
      <c r="OGK79" s="5"/>
      <c r="OGL79" s="5"/>
      <c r="OGM79" s="5"/>
      <c r="OGN79" s="5"/>
      <c r="OGO79" s="5"/>
      <c r="OGP79" s="5"/>
      <c r="OGQ79" s="5"/>
      <c r="OGR79" s="5"/>
      <c r="OGS79" s="5"/>
      <c r="OGT79" s="5"/>
      <c r="OGU79" s="5"/>
      <c r="OGV79" s="5"/>
      <c r="OGW79" s="5"/>
      <c r="OGX79" s="5"/>
      <c r="OGY79" s="5"/>
      <c r="OGZ79" s="5"/>
      <c r="OHA79" s="5"/>
      <c r="OHB79" s="5"/>
      <c r="OHC79" s="5"/>
      <c r="OHD79" s="5"/>
      <c r="OHE79" s="5"/>
      <c r="OHF79" s="5"/>
      <c r="OHG79" s="5"/>
      <c r="OHH79" s="5"/>
      <c r="OHI79" s="5"/>
      <c r="OHJ79" s="5"/>
      <c r="OHK79" s="5"/>
      <c r="OHL79" s="5"/>
      <c r="OHM79" s="5"/>
      <c r="OHN79" s="5"/>
      <c r="OHO79" s="5"/>
      <c r="OHP79" s="5"/>
      <c r="OHQ79" s="5"/>
      <c r="OHR79" s="5"/>
      <c r="OHS79" s="5"/>
      <c r="OHT79" s="5"/>
      <c r="OHU79" s="5"/>
      <c r="OHV79" s="5"/>
      <c r="OHW79" s="5"/>
      <c r="OHX79" s="5"/>
      <c r="OHY79" s="5"/>
      <c r="OHZ79" s="5"/>
      <c r="OIA79" s="5"/>
      <c r="OIB79" s="5"/>
      <c r="OIC79" s="5"/>
      <c r="OID79" s="5"/>
      <c r="OIE79" s="5"/>
      <c r="OIF79" s="5"/>
      <c r="OIG79" s="5"/>
      <c r="OIH79" s="5"/>
      <c r="OII79" s="5"/>
      <c r="OIJ79" s="5"/>
      <c r="OIK79" s="5"/>
      <c r="OIL79" s="5"/>
      <c r="OIM79" s="5"/>
      <c r="OIN79" s="5"/>
      <c r="OIO79" s="5"/>
      <c r="OIP79" s="5"/>
      <c r="OIQ79" s="5"/>
      <c r="OIR79" s="5"/>
      <c r="OIS79" s="5"/>
      <c r="OIT79" s="5"/>
      <c r="OIU79" s="5"/>
      <c r="OIV79" s="5"/>
      <c r="OIW79" s="5"/>
      <c r="OIX79" s="5"/>
      <c r="OIY79" s="5"/>
      <c r="OIZ79" s="5"/>
      <c r="OJA79" s="5"/>
      <c r="OJB79" s="5"/>
      <c r="OJC79" s="5"/>
      <c r="OJD79" s="5"/>
      <c r="OJE79" s="5"/>
      <c r="OJF79" s="5"/>
      <c r="OJG79" s="5"/>
      <c r="OJH79" s="5"/>
      <c r="OJI79" s="5"/>
      <c r="OJJ79" s="5"/>
      <c r="OJK79" s="5"/>
      <c r="OJL79" s="5"/>
      <c r="OJM79" s="5"/>
      <c r="OJN79" s="5"/>
      <c r="OJO79" s="5"/>
      <c r="OJP79" s="5"/>
      <c r="OJQ79" s="5"/>
      <c r="OJR79" s="5"/>
      <c r="OJS79" s="5"/>
      <c r="OJT79" s="5"/>
      <c r="OJU79" s="5"/>
      <c r="OJV79" s="5"/>
      <c r="OJW79" s="5"/>
      <c r="OJX79" s="5"/>
      <c r="OJY79" s="5"/>
      <c r="OJZ79" s="5"/>
      <c r="OKA79" s="5"/>
      <c r="OKB79" s="5"/>
      <c r="OKC79" s="5"/>
      <c r="OKD79" s="5"/>
      <c r="OKE79" s="5"/>
      <c r="OKF79" s="5"/>
      <c r="OKG79" s="5"/>
      <c r="OKH79" s="5"/>
      <c r="OKI79" s="5"/>
      <c r="OKJ79" s="5"/>
      <c r="OKK79" s="5"/>
      <c r="OKL79" s="5"/>
      <c r="OKM79" s="5"/>
      <c r="OKN79" s="5"/>
      <c r="OKO79" s="5"/>
      <c r="OKP79" s="5"/>
      <c r="OKQ79" s="5"/>
      <c r="OKR79" s="5"/>
      <c r="OKS79" s="5"/>
      <c r="OKT79" s="5"/>
      <c r="OKU79" s="5"/>
      <c r="OKV79" s="5"/>
      <c r="OKW79" s="5"/>
      <c r="OKX79" s="5"/>
      <c r="OKY79" s="5"/>
      <c r="OKZ79" s="5"/>
      <c r="OLA79" s="5"/>
      <c r="OLB79" s="5"/>
      <c r="OLC79" s="5"/>
      <c r="OLD79" s="5"/>
      <c r="OLE79" s="5"/>
      <c r="OLF79" s="5"/>
      <c r="OLG79" s="5"/>
      <c r="OLH79" s="5"/>
      <c r="OLI79" s="5"/>
      <c r="OLJ79" s="5"/>
      <c r="OLK79" s="5"/>
      <c r="OLL79" s="5"/>
      <c r="OLM79" s="5"/>
      <c r="OLN79" s="5"/>
      <c r="OLO79" s="5"/>
      <c r="OLP79" s="5"/>
      <c r="OLQ79" s="5"/>
      <c r="OLR79" s="5"/>
      <c r="OLS79" s="5"/>
      <c r="OLT79" s="5"/>
      <c r="OLU79" s="5"/>
      <c r="OLV79" s="5"/>
      <c r="OLW79" s="5"/>
      <c r="OLX79" s="5"/>
      <c r="OLY79" s="5"/>
      <c r="OLZ79" s="5"/>
      <c r="OMA79" s="5"/>
      <c r="OMB79" s="5"/>
      <c r="OMC79" s="5"/>
      <c r="OMD79" s="5"/>
      <c r="OME79" s="5"/>
      <c r="OMF79" s="5"/>
      <c r="OMG79" s="5"/>
      <c r="OMH79" s="5"/>
      <c r="OMI79" s="5"/>
      <c r="OMJ79" s="5"/>
      <c r="OMK79" s="5"/>
      <c r="OML79" s="5"/>
      <c r="OMM79" s="5"/>
      <c r="OMN79" s="5"/>
      <c r="OMO79" s="5"/>
      <c r="OMP79" s="5"/>
      <c r="OMQ79" s="5"/>
      <c r="OMR79" s="5"/>
      <c r="OMS79" s="5"/>
      <c r="OMT79" s="5"/>
      <c r="OMU79" s="5"/>
      <c r="OMV79" s="5"/>
      <c r="OMW79" s="5"/>
      <c r="OMX79" s="5"/>
      <c r="OMY79" s="5"/>
      <c r="OMZ79" s="5"/>
      <c r="ONA79" s="5"/>
      <c r="ONB79" s="5"/>
      <c r="ONC79" s="5"/>
      <c r="OND79" s="5"/>
      <c r="ONE79" s="5"/>
      <c r="ONF79" s="5"/>
      <c r="ONG79" s="5"/>
      <c r="ONH79" s="5"/>
      <c r="ONI79" s="5"/>
      <c r="ONJ79" s="5"/>
      <c r="ONK79" s="5"/>
      <c r="ONL79" s="5"/>
      <c r="ONM79" s="5"/>
      <c r="ONN79" s="5"/>
      <c r="ONO79" s="5"/>
      <c r="ONP79" s="5"/>
      <c r="ONQ79" s="5"/>
      <c r="ONR79" s="5"/>
      <c r="ONS79" s="5"/>
      <c r="ONT79" s="5"/>
      <c r="ONU79" s="5"/>
      <c r="ONV79" s="5"/>
      <c r="ONW79" s="5"/>
      <c r="ONX79" s="5"/>
      <c r="ONY79" s="5"/>
      <c r="ONZ79" s="5"/>
      <c r="OOA79" s="5"/>
      <c r="OOB79" s="5"/>
      <c r="OOC79" s="5"/>
      <c r="OOD79" s="5"/>
      <c r="OOE79" s="5"/>
      <c r="OOF79" s="5"/>
      <c r="OOG79" s="5"/>
      <c r="OOH79" s="5"/>
      <c r="OOI79" s="5"/>
      <c r="OOJ79" s="5"/>
      <c r="OOK79" s="5"/>
      <c r="OOL79" s="5"/>
      <c r="OOM79" s="5"/>
      <c r="OON79" s="5"/>
      <c r="OOO79" s="5"/>
      <c r="OOP79" s="5"/>
      <c r="OOQ79" s="5"/>
      <c r="OOR79" s="5"/>
      <c r="OOS79" s="5"/>
      <c r="OOT79" s="5"/>
      <c r="OOU79" s="5"/>
      <c r="OOV79" s="5"/>
      <c r="OOW79" s="5"/>
      <c r="OOX79" s="5"/>
      <c r="OOY79" s="5"/>
      <c r="OOZ79" s="5"/>
      <c r="OPA79" s="5"/>
      <c r="OPB79" s="5"/>
      <c r="OPC79" s="5"/>
      <c r="OPD79" s="5"/>
      <c r="OPE79" s="5"/>
      <c r="OPF79" s="5"/>
      <c r="OPG79" s="5"/>
      <c r="OPH79" s="5"/>
      <c r="OPI79" s="5"/>
      <c r="OPJ79" s="5"/>
      <c r="OPK79" s="5"/>
      <c r="OPL79" s="5"/>
      <c r="OPM79" s="5"/>
      <c r="OPN79" s="5"/>
      <c r="OPO79" s="5"/>
      <c r="OPP79" s="5"/>
      <c r="OPQ79" s="5"/>
      <c r="OPR79" s="5"/>
      <c r="OPS79" s="5"/>
      <c r="OPT79" s="5"/>
      <c r="OPU79" s="5"/>
      <c r="OPV79" s="5"/>
      <c r="OPW79" s="5"/>
      <c r="OPX79" s="5"/>
      <c r="OPY79" s="5"/>
      <c r="OPZ79" s="5"/>
      <c r="OQA79" s="5"/>
      <c r="OQB79" s="5"/>
      <c r="OQC79" s="5"/>
      <c r="OQD79" s="5"/>
      <c r="OQE79" s="5"/>
      <c r="OQF79" s="5"/>
      <c r="OQG79" s="5"/>
      <c r="OQH79" s="5"/>
      <c r="OQI79" s="5"/>
      <c r="OQJ79" s="5"/>
      <c r="OQK79" s="5"/>
      <c r="OQL79" s="5"/>
      <c r="OQM79" s="5"/>
      <c r="OQN79" s="5"/>
      <c r="OQO79" s="5"/>
      <c r="OQP79" s="5"/>
      <c r="OQQ79" s="5"/>
      <c r="OQR79" s="5"/>
      <c r="OQS79" s="5"/>
      <c r="OQT79" s="5"/>
      <c r="OQU79" s="5"/>
      <c r="OQV79" s="5"/>
      <c r="OQW79" s="5"/>
      <c r="OQX79" s="5"/>
      <c r="OQY79" s="5"/>
      <c r="OQZ79" s="5"/>
      <c r="ORA79" s="5"/>
      <c r="ORB79" s="5"/>
      <c r="ORC79" s="5"/>
      <c r="ORD79" s="5"/>
      <c r="ORE79" s="5"/>
      <c r="ORF79" s="5"/>
      <c r="ORG79" s="5"/>
      <c r="ORH79" s="5"/>
      <c r="ORI79" s="5"/>
      <c r="ORJ79" s="5"/>
      <c r="ORK79" s="5"/>
      <c r="ORL79" s="5"/>
      <c r="ORM79" s="5"/>
      <c r="ORN79" s="5"/>
      <c r="ORO79" s="5"/>
      <c r="ORP79" s="5"/>
      <c r="ORQ79" s="5"/>
      <c r="ORR79" s="5"/>
      <c r="ORS79" s="5"/>
      <c r="ORT79" s="5"/>
      <c r="ORU79" s="5"/>
      <c r="ORV79" s="5"/>
      <c r="ORW79" s="5"/>
      <c r="ORX79" s="5"/>
      <c r="ORY79" s="5"/>
      <c r="ORZ79" s="5"/>
      <c r="OSA79" s="5"/>
      <c r="OSB79" s="5"/>
      <c r="OSC79" s="5"/>
      <c r="OSD79" s="5"/>
      <c r="OSE79" s="5"/>
      <c r="OSF79" s="5"/>
      <c r="OSG79" s="5"/>
      <c r="OSH79" s="5"/>
      <c r="OSI79" s="5"/>
      <c r="OSJ79" s="5"/>
      <c r="OSK79" s="5"/>
      <c r="OSL79" s="5"/>
      <c r="OSM79" s="5"/>
      <c r="OSN79" s="5"/>
      <c r="OSO79" s="5"/>
      <c r="OSP79" s="5"/>
      <c r="OSQ79" s="5"/>
      <c r="OSR79" s="5"/>
      <c r="OSS79" s="5"/>
      <c r="OST79" s="5"/>
      <c r="OSU79" s="5"/>
      <c r="OSV79" s="5"/>
      <c r="OSW79" s="5"/>
      <c r="OSX79" s="5"/>
      <c r="OSY79" s="5"/>
      <c r="OSZ79" s="5"/>
      <c r="OTA79" s="5"/>
      <c r="OTB79" s="5"/>
      <c r="OTC79" s="5"/>
      <c r="OTD79" s="5"/>
      <c r="OTE79" s="5"/>
      <c r="OTF79" s="5"/>
      <c r="OTG79" s="5"/>
      <c r="OTH79" s="5"/>
      <c r="OTI79" s="5"/>
      <c r="OTJ79" s="5"/>
      <c r="OTK79" s="5"/>
      <c r="OTL79" s="5"/>
      <c r="OTM79" s="5"/>
      <c r="OTN79" s="5"/>
      <c r="OTO79" s="5"/>
      <c r="OTP79" s="5"/>
      <c r="OTQ79" s="5"/>
      <c r="OTR79" s="5"/>
      <c r="OTS79" s="5"/>
      <c r="OTT79" s="5"/>
      <c r="OTU79" s="5"/>
      <c r="OTV79" s="5"/>
      <c r="OTW79" s="5"/>
      <c r="OTX79" s="5"/>
      <c r="OTY79" s="5"/>
      <c r="OTZ79" s="5"/>
      <c r="OUA79" s="5"/>
      <c r="OUB79" s="5"/>
      <c r="OUC79" s="5"/>
      <c r="OUD79" s="5"/>
      <c r="OUE79" s="5"/>
      <c r="OUF79" s="5"/>
      <c r="OUG79" s="5"/>
      <c r="OUH79" s="5"/>
      <c r="OUI79" s="5"/>
      <c r="OUJ79" s="5"/>
      <c r="OUK79" s="5"/>
      <c r="OUL79" s="5"/>
      <c r="OUM79" s="5"/>
      <c r="OUN79" s="5"/>
      <c r="OUO79" s="5"/>
      <c r="OUP79" s="5"/>
      <c r="OUQ79" s="5"/>
      <c r="OUR79" s="5"/>
      <c r="OUS79" s="5"/>
      <c r="OUT79" s="5"/>
      <c r="OUU79" s="5"/>
      <c r="OUV79" s="5"/>
      <c r="OUW79" s="5"/>
      <c r="OUX79" s="5"/>
      <c r="OUY79" s="5"/>
      <c r="OUZ79" s="5"/>
      <c r="OVA79" s="5"/>
      <c r="OVB79" s="5"/>
      <c r="OVC79" s="5"/>
      <c r="OVD79" s="5"/>
      <c r="OVE79" s="5"/>
      <c r="OVF79" s="5"/>
      <c r="OVG79" s="5"/>
      <c r="OVH79" s="5"/>
      <c r="OVI79" s="5"/>
      <c r="OVJ79" s="5"/>
      <c r="OVK79" s="5"/>
      <c r="OVL79" s="5"/>
      <c r="OVM79" s="5"/>
      <c r="OVN79" s="5"/>
      <c r="OVO79" s="5"/>
      <c r="OVP79" s="5"/>
      <c r="OVQ79" s="5"/>
      <c r="OVR79" s="5"/>
      <c r="OVS79" s="5"/>
      <c r="OVT79" s="5"/>
      <c r="OVU79" s="5"/>
      <c r="OVV79" s="5"/>
      <c r="OVW79" s="5"/>
      <c r="OVX79" s="5"/>
      <c r="OVY79" s="5"/>
      <c r="OVZ79" s="5"/>
      <c r="OWA79" s="5"/>
      <c r="OWB79" s="5"/>
      <c r="OWC79" s="5"/>
      <c r="OWD79" s="5"/>
      <c r="OWE79" s="5"/>
      <c r="OWF79" s="5"/>
      <c r="OWG79" s="5"/>
      <c r="OWH79" s="5"/>
      <c r="OWI79" s="5"/>
      <c r="OWJ79" s="5"/>
      <c r="OWK79" s="5"/>
      <c r="OWL79" s="5"/>
      <c r="OWM79" s="5"/>
      <c r="OWN79" s="5"/>
      <c r="OWO79" s="5"/>
      <c r="OWP79" s="5"/>
      <c r="OWQ79" s="5"/>
      <c r="OWR79" s="5"/>
      <c r="OWS79" s="5"/>
      <c r="OWT79" s="5"/>
      <c r="OWU79" s="5"/>
      <c r="OWV79" s="5"/>
      <c r="OWW79" s="5"/>
      <c r="OWX79" s="5"/>
      <c r="OWY79" s="5"/>
      <c r="OWZ79" s="5"/>
      <c r="OXA79" s="5"/>
      <c r="OXB79" s="5"/>
      <c r="OXC79" s="5"/>
      <c r="OXD79" s="5"/>
      <c r="OXE79" s="5"/>
      <c r="OXF79" s="5"/>
      <c r="OXG79" s="5"/>
      <c r="OXH79" s="5"/>
      <c r="OXI79" s="5"/>
      <c r="OXJ79" s="5"/>
      <c r="OXK79" s="5"/>
      <c r="OXL79" s="5"/>
      <c r="OXM79" s="5"/>
      <c r="OXN79" s="5"/>
      <c r="OXO79" s="5"/>
      <c r="OXP79" s="5"/>
      <c r="OXQ79" s="5"/>
      <c r="OXR79" s="5"/>
      <c r="OXS79" s="5"/>
      <c r="OXT79" s="5"/>
      <c r="OXU79" s="5"/>
      <c r="OXV79" s="5"/>
      <c r="OXW79" s="5"/>
      <c r="OXX79" s="5"/>
      <c r="OXY79" s="5"/>
      <c r="OXZ79" s="5"/>
      <c r="OYA79" s="5"/>
      <c r="OYB79" s="5"/>
      <c r="OYC79" s="5"/>
      <c r="OYD79" s="5"/>
      <c r="OYE79" s="5"/>
      <c r="OYF79" s="5"/>
      <c r="OYG79" s="5"/>
      <c r="OYH79" s="5"/>
      <c r="OYI79" s="5"/>
      <c r="OYJ79" s="5"/>
      <c r="OYK79" s="5"/>
      <c r="OYL79" s="5"/>
      <c r="OYM79" s="5"/>
      <c r="OYN79" s="5"/>
      <c r="OYO79" s="5"/>
      <c r="OYP79" s="5"/>
      <c r="OYQ79" s="5"/>
      <c r="OYR79" s="5"/>
      <c r="OYS79" s="5"/>
      <c r="OYT79" s="5"/>
      <c r="OYU79" s="5"/>
      <c r="OYV79" s="5"/>
      <c r="OYW79" s="5"/>
      <c r="OYX79" s="5"/>
      <c r="OYY79" s="5"/>
      <c r="OYZ79" s="5"/>
      <c r="OZA79" s="5"/>
      <c r="OZB79" s="5"/>
      <c r="OZC79" s="5"/>
      <c r="OZD79" s="5"/>
      <c r="OZE79" s="5"/>
      <c r="OZF79" s="5"/>
      <c r="OZG79" s="5"/>
      <c r="OZH79" s="5"/>
      <c r="OZI79" s="5"/>
      <c r="OZJ79" s="5"/>
      <c r="OZK79" s="5"/>
      <c r="OZL79" s="5"/>
      <c r="OZM79" s="5"/>
      <c r="OZN79" s="5"/>
      <c r="OZO79" s="5"/>
      <c r="OZP79" s="5"/>
      <c r="OZQ79" s="5"/>
      <c r="OZR79" s="5"/>
      <c r="OZS79" s="5"/>
      <c r="OZT79" s="5"/>
      <c r="OZU79" s="5"/>
      <c r="OZV79" s="5"/>
      <c r="OZW79" s="5"/>
      <c r="OZX79" s="5"/>
      <c r="OZY79" s="5"/>
      <c r="OZZ79" s="5"/>
      <c r="PAA79" s="5"/>
      <c r="PAB79" s="5"/>
      <c r="PAC79" s="5"/>
      <c r="PAD79" s="5"/>
      <c r="PAE79" s="5"/>
      <c r="PAF79" s="5"/>
      <c r="PAG79" s="5"/>
      <c r="PAH79" s="5"/>
      <c r="PAI79" s="5"/>
      <c r="PAJ79" s="5"/>
      <c r="PAK79" s="5"/>
      <c r="PAL79" s="5"/>
      <c r="PAM79" s="5"/>
      <c r="PAN79" s="5"/>
      <c r="PAO79" s="5"/>
      <c r="PAP79" s="5"/>
      <c r="PAQ79" s="5"/>
      <c r="PAR79" s="5"/>
      <c r="PAS79" s="5"/>
      <c r="PAT79" s="5"/>
      <c r="PAU79" s="5"/>
      <c r="PAV79" s="5"/>
      <c r="PAW79" s="5"/>
      <c r="PAX79" s="5"/>
      <c r="PAY79" s="5"/>
      <c r="PAZ79" s="5"/>
      <c r="PBA79" s="5"/>
      <c r="PBB79" s="5"/>
      <c r="PBC79" s="5"/>
      <c r="PBD79" s="5"/>
      <c r="PBE79" s="5"/>
      <c r="PBF79" s="5"/>
      <c r="PBG79" s="5"/>
      <c r="PBH79" s="5"/>
      <c r="PBI79" s="5"/>
      <c r="PBJ79" s="5"/>
      <c r="PBK79" s="5"/>
      <c r="PBL79" s="5"/>
      <c r="PBM79" s="5"/>
      <c r="PBN79" s="5"/>
      <c r="PBO79" s="5"/>
      <c r="PBP79" s="5"/>
      <c r="PBQ79" s="5"/>
      <c r="PBR79" s="5"/>
      <c r="PBS79" s="5"/>
      <c r="PBT79" s="5"/>
      <c r="PBU79" s="5"/>
      <c r="PBV79" s="5"/>
      <c r="PBW79" s="5"/>
      <c r="PBX79" s="5"/>
      <c r="PBY79" s="5"/>
      <c r="PBZ79" s="5"/>
      <c r="PCA79" s="5"/>
      <c r="PCB79" s="5"/>
      <c r="PCC79" s="5"/>
      <c r="PCD79" s="5"/>
      <c r="PCE79" s="5"/>
      <c r="PCF79" s="5"/>
      <c r="PCG79" s="5"/>
      <c r="PCH79" s="5"/>
      <c r="PCI79" s="5"/>
      <c r="PCJ79" s="5"/>
      <c r="PCK79" s="5"/>
      <c r="PCL79" s="5"/>
      <c r="PCM79" s="5"/>
      <c r="PCN79" s="5"/>
      <c r="PCO79" s="5"/>
      <c r="PCP79" s="5"/>
      <c r="PCQ79" s="5"/>
      <c r="PCR79" s="5"/>
      <c r="PCS79" s="5"/>
      <c r="PCT79" s="5"/>
      <c r="PCU79" s="5"/>
      <c r="PCV79" s="5"/>
      <c r="PCW79" s="5"/>
      <c r="PCX79" s="5"/>
      <c r="PCY79" s="5"/>
      <c r="PCZ79" s="5"/>
      <c r="PDA79" s="5"/>
      <c r="PDB79" s="5"/>
      <c r="PDC79" s="5"/>
      <c r="PDD79" s="5"/>
      <c r="PDE79" s="5"/>
      <c r="PDF79" s="5"/>
      <c r="PDG79" s="5"/>
      <c r="PDH79" s="5"/>
      <c r="PDI79" s="5"/>
      <c r="PDJ79" s="5"/>
      <c r="PDK79" s="5"/>
      <c r="PDL79" s="5"/>
      <c r="PDM79" s="5"/>
      <c r="PDN79" s="5"/>
      <c r="PDO79" s="5"/>
      <c r="PDP79" s="5"/>
      <c r="PDQ79" s="5"/>
      <c r="PDR79" s="5"/>
      <c r="PDS79" s="5"/>
      <c r="PDT79" s="5"/>
      <c r="PDU79" s="5"/>
      <c r="PDV79" s="5"/>
      <c r="PDW79" s="5"/>
      <c r="PDX79" s="5"/>
      <c r="PDY79" s="5"/>
      <c r="PDZ79" s="5"/>
      <c r="PEA79" s="5"/>
      <c r="PEB79" s="5"/>
      <c r="PEC79" s="5"/>
      <c r="PED79" s="5"/>
      <c r="PEE79" s="5"/>
      <c r="PEF79" s="5"/>
      <c r="PEG79" s="5"/>
      <c r="PEH79" s="5"/>
      <c r="PEI79" s="5"/>
      <c r="PEJ79" s="5"/>
      <c r="PEK79" s="5"/>
      <c r="PEL79" s="5"/>
      <c r="PEM79" s="5"/>
      <c r="PEN79" s="5"/>
      <c r="PEO79" s="5"/>
      <c r="PEP79" s="5"/>
      <c r="PEQ79" s="5"/>
      <c r="PER79" s="5"/>
      <c r="PES79" s="5"/>
      <c r="PET79" s="5"/>
      <c r="PEU79" s="5"/>
      <c r="PEV79" s="5"/>
      <c r="PEW79" s="5"/>
      <c r="PEX79" s="5"/>
      <c r="PEY79" s="5"/>
      <c r="PEZ79" s="5"/>
      <c r="PFA79" s="5"/>
      <c r="PFB79" s="5"/>
      <c r="PFC79" s="5"/>
      <c r="PFD79" s="5"/>
      <c r="PFE79" s="5"/>
      <c r="PFF79" s="5"/>
      <c r="PFG79" s="5"/>
      <c r="PFH79" s="5"/>
      <c r="PFI79" s="5"/>
      <c r="PFJ79" s="5"/>
      <c r="PFK79" s="5"/>
      <c r="PFL79" s="5"/>
      <c r="PFM79" s="5"/>
      <c r="PFN79" s="5"/>
      <c r="PFO79" s="5"/>
      <c r="PFP79" s="5"/>
      <c r="PFQ79" s="5"/>
      <c r="PFR79" s="5"/>
      <c r="PFS79" s="5"/>
      <c r="PFT79" s="5"/>
      <c r="PFU79" s="5"/>
      <c r="PFV79" s="5"/>
      <c r="PFW79" s="5"/>
      <c r="PFX79" s="5"/>
      <c r="PFY79" s="5"/>
      <c r="PFZ79" s="5"/>
      <c r="PGA79" s="5"/>
      <c r="PGB79" s="5"/>
      <c r="PGC79" s="5"/>
      <c r="PGD79" s="5"/>
      <c r="PGE79" s="5"/>
      <c r="PGF79" s="5"/>
      <c r="PGG79" s="5"/>
      <c r="PGH79" s="5"/>
      <c r="PGI79" s="5"/>
      <c r="PGJ79" s="5"/>
      <c r="PGK79" s="5"/>
      <c r="PGL79" s="5"/>
      <c r="PGM79" s="5"/>
      <c r="PGN79" s="5"/>
      <c r="PGO79" s="5"/>
      <c r="PGP79" s="5"/>
      <c r="PGQ79" s="5"/>
      <c r="PGR79" s="5"/>
      <c r="PGS79" s="5"/>
      <c r="PGT79" s="5"/>
      <c r="PGU79" s="5"/>
      <c r="PGV79" s="5"/>
      <c r="PGW79" s="5"/>
      <c r="PGX79" s="5"/>
      <c r="PGY79" s="5"/>
      <c r="PGZ79" s="5"/>
      <c r="PHA79" s="5"/>
      <c r="PHB79" s="5"/>
      <c r="PHC79" s="5"/>
      <c r="PHD79" s="5"/>
      <c r="PHE79" s="5"/>
      <c r="PHF79" s="5"/>
      <c r="PHG79" s="5"/>
      <c r="PHH79" s="5"/>
      <c r="PHI79" s="5"/>
      <c r="PHJ79" s="5"/>
      <c r="PHK79" s="5"/>
      <c r="PHL79" s="5"/>
      <c r="PHM79" s="5"/>
      <c r="PHN79" s="5"/>
      <c r="PHO79" s="5"/>
      <c r="PHP79" s="5"/>
      <c r="PHQ79" s="5"/>
      <c r="PHR79" s="5"/>
      <c r="PHS79" s="5"/>
      <c r="PHT79" s="5"/>
      <c r="PHU79" s="5"/>
      <c r="PHV79" s="5"/>
      <c r="PHW79" s="5"/>
      <c r="PHX79" s="5"/>
      <c r="PHY79" s="5"/>
      <c r="PHZ79" s="5"/>
      <c r="PIA79" s="5"/>
      <c r="PIB79" s="5"/>
      <c r="PIC79" s="5"/>
      <c r="PID79" s="5"/>
      <c r="PIE79" s="5"/>
      <c r="PIF79" s="5"/>
      <c r="PIG79" s="5"/>
      <c r="PIH79" s="5"/>
      <c r="PII79" s="5"/>
      <c r="PIJ79" s="5"/>
      <c r="PIK79" s="5"/>
      <c r="PIL79" s="5"/>
      <c r="PIM79" s="5"/>
      <c r="PIN79" s="5"/>
      <c r="PIO79" s="5"/>
      <c r="PIP79" s="5"/>
      <c r="PIQ79" s="5"/>
      <c r="PIR79" s="5"/>
      <c r="PIS79" s="5"/>
      <c r="PIT79" s="5"/>
      <c r="PIU79" s="5"/>
      <c r="PIV79" s="5"/>
      <c r="PIW79" s="5"/>
      <c r="PIX79" s="5"/>
      <c r="PIY79" s="5"/>
      <c r="PIZ79" s="5"/>
      <c r="PJA79" s="5"/>
      <c r="PJB79" s="5"/>
      <c r="PJC79" s="5"/>
      <c r="PJD79" s="5"/>
      <c r="PJE79" s="5"/>
      <c r="PJF79" s="5"/>
      <c r="PJG79" s="5"/>
      <c r="PJH79" s="5"/>
      <c r="PJI79" s="5"/>
      <c r="PJJ79" s="5"/>
      <c r="PJK79" s="5"/>
      <c r="PJL79" s="5"/>
      <c r="PJM79" s="5"/>
      <c r="PJN79" s="5"/>
      <c r="PJO79" s="5"/>
      <c r="PJP79" s="5"/>
      <c r="PJQ79" s="5"/>
      <c r="PJR79" s="5"/>
      <c r="PJS79" s="5"/>
      <c r="PJT79" s="5"/>
      <c r="PJU79" s="5"/>
      <c r="PJV79" s="5"/>
      <c r="PJW79" s="5"/>
      <c r="PJX79" s="5"/>
      <c r="PJY79" s="5"/>
      <c r="PJZ79" s="5"/>
      <c r="PKA79" s="5"/>
      <c r="PKB79" s="5"/>
      <c r="PKC79" s="5"/>
      <c r="PKD79" s="5"/>
      <c r="PKE79" s="5"/>
      <c r="PKF79" s="5"/>
      <c r="PKG79" s="5"/>
      <c r="PKH79" s="5"/>
      <c r="PKI79" s="5"/>
      <c r="PKJ79" s="5"/>
      <c r="PKK79" s="5"/>
      <c r="PKL79" s="5"/>
      <c r="PKM79" s="5"/>
      <c r="PKN79" s="5"/>
      <c r="PKO79" s="5"/>
      <c r="PKP79" s="5"/>
      <c r="PKQ79" s="5"/>
      <c r="PKR79" s="5"/>
      <c r="PKS79" s="5"/>
      <c r="PKT79" s="5"/>
      <c r="PKU79" s="5"/>
      <c r="PKV79" s="5"/>
      <c r="PKW79" s="5"/>
      <c r="PKX79" s="5"/>
      <c r="PKY79" s="5"/>
      <c r="PKZ79" s="5"/>
      <c r="PLA79" s="5"/>
      <c r="PLB79" s="5"/>
      <c r="PLC79" s="5"/>
      <c r="PLD79" s="5"/>
      <c r="PLE79" s="5"/>
      <c r="PLF79" s="5"/>
      <c r="PLG79" s="5"/>
      <c r="PLH79" s="5"/>
      <c r="PLI79" s="5"/>
      <c r="PLJ79" s="5"/>
      <c r="PLK79" s="5"/>
      <c r="PLL79" s="5"/>
      <c r="PLM79" s="5"/>
      <c r="PLN79" s="5"/>
      <c r="PLO79" s="5"/>
      <c r="PLP79" s="5"/>
      <c r="PLQ79" s="5"/>
      <c r="PLR79" s="5"/>
      <c r="PLS79" s="5"/>
      <c r="PLT79" s="5"/>
      <c r="PLU79" s="5"/>
      <c r="PLV79" s="5"/>
      <c r="PLW79" s="5"/>
      <c r="PLX79" s="5"/>
      <c r="PLY79" s="5"/>
      <c r="PLZ79" s="5"/>
      <c r="PMA79" s="5"/>
      <c r="PMB79" s="5"/>
      <c r="PMC79" s="5"/>
      <c r="PMD79" s="5"/>
      <c r="PME79" s="5"/>
      <c r="PMF79" s="5"/>
      <c r="PMG79" s="5"/>
      <c r="PMH79" s="5"/>
      <c r="PMI79" s="5"/>
      <c r="PMJ79" s="5"/>
      <c r="PMK79" s="5"/>
      <c r="PML79" s="5"/>
      <c r="PMM79" s="5"/>
      <c r="PMN79" s="5"/>
      <c r="PMO79" s="5"/>
      <c r="PMP79" s="5"/>
      <c r="PMQ79" s="5"/>
      <c r="PMR79" s="5"/>
      <c r="PMS79" s="5"/>
      <c r="PMT79" s="5"/>
      <c r="PMU79" s="5"/>
      <c r="PMV79" s="5"/>
      <c r="PMW79" s="5"/>
      <c r="PMX79" s="5"/>
      <c r="PMY79" s="5"/>
      <c r="PMZ79" s="5"/>
      <c r="PNA79" s="5"/>
      <c r="PNB79" s="5"/>
      <c r="PNC79" s="5"/>
      <c r="PND79" s="5"/>
      <c r="PNE79" s="5"/>
      <c r="PNF79" s="5"/>
      <c r="PNG79" s="5"/>
      <c r="PNH79" s="5"/>
      <c r="PNI79" s="5"/>
      <c r="PNJ79" s="5"/>
      <c r="PNK79" s="5"/>
      <c r="PNL79" s="5"/>
      <c r="PNM79" s="5"/>
      <c r="PNN79" s="5"/>
      <c r="PNO79" s="5"/>
      <c r="PNP79" s="5"/>
      <c r="PNQ79" s="5"/>
      <c r="PNR79" s="5"/>
      <c r="PNS79" s="5"/>
      <c r="PNT79" s="5"/>
      <c r="PNU79" s="5"/>
      <c r="PNV79" s="5"/>
      <c r="PNW79" s="5"/>
      <c r="PNX79" s="5"/>
      <c r="PNY79" s="5"/>
      <c r="PNZ79" s="5"/>
      <c r="POA79" s="5"/>
      <c r="POB79" s="5"/>
      <c r="POC79" s="5"/>
      <c r="POD79" s="5"/>
      <c r="POE79" s="5"/>
      <c r="POF79" s="5"/>
      <c r="POG79" s="5"/>
      <c r="POH79" s="5"/>
      <c r="POI79" s="5"/>
      <c r="POJ79" s="5"/>
      <c r="POK79" s="5"/>
      <c r="POL79" s="5"/>
      <c r="POM79" s="5"/>
      <c r="PON79" s="5"/>
      <c r="POO79" s="5"/>
      <c r="POP79" s="5"/>
      <c r="POQ79" s="5"/>
      <c r="POR79" s="5"/>
      <c r="POS79" s="5"/>
      <c r="POT79" s="5"/>
      <c r="POU79" s="5"/>
      <c r="POV79" s="5"/>
      <c r="POW79" s="5"/>
      <c r="POX79" s="5"/>
      <c r="POY79" s="5"/>
      <c r="POZ79" s="5"/>
      <c r="PPA79" s="5"/>
      <c r="PPB79" s="5"/>
      <c r="PPC79" s="5"/>
      <c r="PPD79" s="5"/>
      <c r="PPE79" s="5"/>
      <c r="PPF79" s="5"/>
      <c r="PPG79" s="5"/>
      <c r="PPH79" s="5"/>
      <c r="PPI79" s="5"/>
      <c r="PPJ79" s="5"/>
      <c r="PPK79" s="5"/>
      <c r="PPL79" s="5"/>
      <c r="PPM79" s="5"/>
      <c r="PPN79" s="5"/>
      <c r="PPO79" s="5"/>
      <c r="PPP79" s="5"/>
      <c r="PPQ79" s="5"/>
      <c r="PPR79" s="5"/>
      <c r="PPS79" s="5"/>
      <c r="PPT79" s="5"/>
      <c r="PPU79" s="5"/>
      <c r="PPV79" s="5"/>
      <c r="PPW79" s="5"/>
      <c r="PPX79" s="5"/>
      <c r="PPY79" s="5"/>
      <c r="PPZ79" s="5"/>
      <c r="PQA79" s="5"/>
      <c r="PQB79" s="5"/>
      <c r="PQC79" s="5"/>
      <c r="PQD79" s="5"/>
      <c r="PQE79" s="5"/>
      <c r="PQF79" s="5"/>
      <c r="PQG79" s="5"/>
      <c r="PQH79" s="5"/>
      <c r="PQI79" s="5"/>
      <c r="PQJ79" s="5"/>
      <c r="PQK79" s="5"/>
      <c r="PQL79" s="5"/>
      <c r="PQM79" s="5"/>
      <c r="PQN79" s="5"/>
      <c r="PQO79" s="5"/>
      <c r="PQP79" s="5"/>
      <c r="PQQ79" s="5"/>
      <c r="PQR79" s="5"/>
      <c r="PQS79" s="5"/>
      <c r="PQT79" s="5"/>
      <c r="PQU79" s="5"/>
      <c r="PQV79" s="5"/>
      <c r="PQW79" s="5"/>
      <c r="PQX79" s="5"/>
      <c r="PQY79" s="5"/>
      <c r="PQZ79" s="5"/>
      <c r="PRA79" s="5"/>
      <c r="PRB79" s="5"/>
      <c r="PRC79" s="5"/>
      <c r="PRD79" s="5"/>
      <c r="PRE79" s="5"/>
      <c r="PRF79" s="5"/>
      <c r="PRG79" s="5"/>
      <c r="PRH79" s="5"/>
      <c r="PRI79" s="5"/>
      <c r="PRJ79" s="5"/>
      <c r="PRK79" s="5"/>
      <c r="PRL79" s="5"/>
      <c r="PRM79" s="5"/>
      <c r="PRN79" s="5"/>
      <c r="PRO79" s="5"/>
      <c r="PRP79" s="5"/>
      <c r="PRQ79" s="5"/>
      <c r="PRR79" s="5"/>
      <c r="PRS79" s="5"/>
      <c r="PRT79" s="5"/>
      <c r="PRU79" s="5"/>
      <c r="PRV79" s="5"/>
      <c r="PRW79" s="5"/>
      <c r="PRX79" s="5"/>
      <c r="PRY79" s="5"/>
      <c r="PRZ79" s="5"/>
      <c r="PSA79" s="5"/>
      <c r="PSB79" s="5"/>
      <c r="PSC79" s="5"/>
      <c r="PSD79" s="5"/>
      <c r="PSE79" s="5"/>
      <c r="PSF79" s="5"/>
      <c r="PSG79" s="5"/>
      <c r="PSH79" s="5"/>
      <c r="PSI79" s="5"/>
      <c r="PSJ79" s="5"/>
      <c r="PSK79" s="5"/>
      <c r="PSL79" s="5"/>
      <c r="PSM79" s="5"/>
      <c r="PSN79" s="5"/>
      <c r="PSO79" s="5"/>
      <c r="PSP79" s="5"/>
      <c r="PSQ79" s="5"/>
      <c r="PSR79" s="5"/>
      <c r="PSS79" s="5"/>
      <c r="PST79" s="5"/>
      <c r="PSU79" s="5"/>
      <c r="PSV79" s="5"/>
      <c r="PSW79" s="5"/>
      <c r="PSX79" s="5"/>
      <c r="PSY79" s="5"/>
      <c r="PSZ79" s="5"/>
      <c r="PTA79" s="5"/>
      <c r="PTB79" s="5"/>
      <c r="PTC79" s="5"/>
      <c r="PTD79" s="5"/>
      <c r="PTE79" s="5"/>
      <c r="PTF79" s="5"/>
      <c r="PTG79" s="5"/>
      <c r="PTH79" s="5"/>
      <c r="PTI79" s="5"/>
      <c r="PTJ79" s="5"/>
      <c r="PTK79" s="5"/>
      <c r="PTL79" s="5"/>
      <c r="PTM79" s="5"/>
      <c r="PTN79" s="5"/>
      <c r="PTO79" s="5"/>
      <c r="PTP79" s="5"/>
      <c r="PTQ79" s="5"/>
      <c r="PTR79" s="5"/>
      <c r="PTS79" s="5"/>
      <c r="PTT79" s="5"/>
      <c r="PTU79" s="5"/>
      <c r="PTV79" s="5"/>
      <c r="PTW79" s="5"/>
      <c r="PTX79" s="5"/>
      <c r="PTY79" s="5"/>
      <c r="PTZ79" s="5"/>
      <c r="PUA79" s="5"/>
      <c r="PUB79" s="5"/>
      <c r="PUC79" s="5"/>
      <c r="PUD79" s="5"/>
      <c r="PUE79" s="5"/>
      <c r="PUF79" s="5"/>
      <c r="PUG79" s="5"/>
      <c r="PUH79" s="5"/>
      <c r="PUI79" s="5"/>
      <c r="PUJ79" s="5"/>
      <c r="PUK79" s="5"/>
      <c r="PUL79" s="5"/>
      <c r="PUM79" s="5"/>
      <c r="PUN79" s="5"/>
      <c r="PUO79" s="5"/>
      <c r="PUP79" s="5"/>
      <c r="PUQ79" s="5"/>
      <c r="PUR79" s="5"/>
      <c r="PUS79" s="5"/>
      <c r="PUT79" s="5"/>
      <c r="PUU79" s="5"/>
      <c r="PUV79" s="5"/>
      <c r="PUW79" s="5"/>
      <c r="PUX79" s="5"/>
      <c r="PUY79" s="5"/>
      <c r="PUZ79" s="5"/>
      <c r="PVA79" s="5"/>
      <c r="PVB79" s="5"/>
      <c r="PVC79" s="5"/>
      <c r="PVD79" s="5"/>
      <c r="PVE79" s="5"/>
      <c r="PVF79" s="5"/>
      <c r="PVG79" s="5"/>
      <c r="PVH79" s="5"/>
      <c r="PVI79" s="5"/>
      <c r="PVJ79" s="5"/>
      <c r="PVK79" s="5"/>
      <c r="PVL79" s="5"/>
      <c r="PVM79" s="5"/>
      <c r="PVN79" s="5"/>
      <c r="PVO79" s="5"/>
      <c r="PVP79" s="5"/>
      <c r="PVQ79" s="5"/>
      <c r="PVR79" s="5"/>
      <c r="PVS79" s="5"/>
      <c r="PVT79" s="5"/>
      <c r="PVU79" s="5"/>
      <c r="PVV79" s="5"/>
      <c r="PVW79" s="5"/>
      <c r="PVX79" s="5"/>
      <c r="PVY79" s="5"/>
      <c r="PVZ79" s="5"/>
      <c r="PWA79" s="5"/>
      <c r="PWB79" s="5"/>
      <c r="PWC79" s="5"/>
      <c r="PWD79" s="5"/>
      <c r="PWE79" s="5"/>
      <c r="PWF79" s="5"/>
      <c r="PWG79" s="5"/>
      <c r="PWH79" s="5"/>
      <c r="PWI79" s="5"/>
      <c r="PWJ79" s="5"/>
      <c r="PWK79" s="5"/>
      <c r="PWL79" s="5"/>
      <c r="PWM79" s="5"/>
      <c r="PWN79" s="5"/>
      <c r="PWO79" s="5"/>
      <c r="PWP79" s="5"/>
      <c r="PWQ79" s="5"/>
      <c r="PWR79" s="5"/>
      <c r="PWS79" s="5"/>
      <c r="PWT79" s="5"/>
      <c r="PWU79" s="5"/>
      <c r="PWV79" s="5"/>
      <c r="PWW79" s="5"/>
      <c r="PWX79" s="5"/>
      <c r="PWY79" s="5"/>
      <c r="PWZ79" s="5"/>
      <c r="PXA79" s="5"/>
      <c r="PXB79" s="5"/>
      <c r="PXC79" s="5"/>
      <c r="PXD79" s="5"/>
      <c r="PXE79" s="5"/>
      <c r="PXF79" s="5"/>
      <c r="PXG79" s="5"/>
      <c r="PXH79" s="5"/>
      <c r="PXI79" s="5"/>
      <c r="PXJ79" s="5"/>
      <c r="PXK79" s="5"/>
      <c r="PXL79" s="5"/>
      <c r="PXM79" s="5"/>
      <c r="PXN79" s="5"/>
      <c r="PXO79" s="5"/>
      <c r="PXP79" s="5"/>
      <c r="PXQ79" s="5"/>
      <c r="PXR79" s="5"/>
      <c r="PXS79" s="5"/>
      <c r="PXT79" s="5"/>
      <c r="PXU79" s="5"/>
      <c r="PXV79" s="5"/>
      <c r="PXW79" s="5"/>
      <c r="PXX79" s="5"/>
      <c r="PXY79" s="5"/>
      <c r="PXZ79" s="5"/>
      <c r="PYA79" s="5"/>
      <c r="PYB79" s="5"/>
      <c r="PYC79" s="5"/>
      <c r="PYD79" s="5"/>
      <c r="PYE79" s="5"/>
      <c r="PYF79" s="5"/>
      <c r="PYG79" s="5"/>
      <c r="PYH79" s="5"/>
      <c r="PYI79" s="5"/>
      <c r="PYJ79" s="5"/>
      <c r="PYK79" s="5"/>
      <c r="PYL79" s="5"/>
      <c r="PYM79" s="5"/>
      <c r="PYN79" s="5"/>
      <c r="PYO79" s="5"/>
      <c r="PYP79" s="5"/>
      <c r="PYQ79" s="5"/>
      <c r="PYR79" s="5"/>
      <c r="PYS79" s="5"/>
      <c r="PYT79" s="5"/>
      <c r="PYU79" s="5"/>
      <c r="PYV79" s="5"/>
      <c r="PYW79" s="5"/>
      <c r="PYX79" s="5"/>
      <c r="PYY79" s="5"/>
      <c r="PYZ79" s="5"/>
      <c r="PZA79" s="5"/>
      <c r="PZB79" s="5"/>
      <c r="PZC79" s="5"/>
      <c r="PZD79" s="5"/>
      <c r="PZE79" s="5"/>
      <c r="PZF79" s="5"/>
      <c r="PZG79" s="5"/>
      <c r="PZH79" s="5"/>
      <c r="PZI79" s="5"/>
      <c r="PZJ79" s="5"/>
      <c r="PZK79" s="5"/>
      <c r="PZL79" s="5"/>
      <c r="PZM79" s="5"/>
      <c r="PZN79" s="5"/>
      <c r="PZO79" s="5"/>
      <c r="PZP79" s="5"/>
      <c r="PZQ79" s="5"/>
      <c r="PZR79" s="5"/>
      <c r="PZS79" s="5"/>
      <c r="PZT79" s="5"/>
      <c r="PZU79" s="5"/>
      <c r="PZV79" s="5"/>
      <c r="PZW79" s="5"/>
      <c r="PZX79" s="5"/>
      <c r="PZY79" s="5"/>
      <c r="PZZ79" s="5"/>
      <c r="QAA79" s="5"/>
      <c r="QAB79" s="5"/>
      <c r="QAC79" s="5"/>
      <c r="QAD79" s="5"/>
      <c r="QAE79" s="5"/>
      <c r="QAF79" s="5"/>
      <c r="QAG79" s="5"/>
      <c r="QAH79" s="5"/>
      <c r="QAI79" s="5"/>
      <c r="QAJ79" s="5"/>
      <c r="QAK79" s="5"/>
      <c r="QAL79" s="5"/>
      <c r="QAM79" s="5"/>
      <c r="QAN79" s="5"/>
      <c r="QAO79" s="5"/>
      <c r="QAP79" s="5"/>
      <c r="QAQ79" s="5"/>
      <c r="QAR79" s="5"/>
      <c r="QAS79" s="5"/>
      <c r="QAT79" s="5"/>
      <c r="QAU79" s="5"/>
      <c r="QAV79" s="5"/>
      <c r="QAW79" s="5"/>
      <c r="QAX79" s="5"/>
      <c r="QAY79" s="5"/>
      <c r="QAZ79" s="5"/>
      <c r="QBA79" s="5"/>
      <c r="QBB79" s="5"/>
      <c r="QBC79" s="5"/>
      <c r="QBD79" s="5"/>
      <c r="QBE79" s="5"/>
      <c r="QBF79" s="5"/>
      <c r="QBG79" s="5"/>
      <c r="QBH79" s="5"/>
      <c r="QBI79" s="5"/>
      <c r="QBJ79" s="5"/>
      <c r="QBK79" s="5"/>
      <c r="QBL79" s="5"/>
      <c r="QBM79" s="5"/>
      <c r="QBN79" s="5"/>
      <c r="QBO79" s="5"/>
      <c r="QBP79" s="5"/>
      <c r="QBQ79" s="5"/>
      <c r="QBR79" s="5"/>
      <c r="QBS79" s="5"/>
      <c r="QBT79" s="5"/>
      <c r="QBU79" s="5"/>
      <c r="QBV79" s="5"/>
      <c r="QBW79" s="5"/>
      <c r="QBX79" s="5"/>
      <c r="QBY79" s="5"/>
      <c r="QBZ79" s="5"/>
      <c r="QCA79" s="5"/>
      <c r="QCB79" s="5"/>
      <c r="QCC79" s="5"/>
      <c r="QCD79" s="5"/>
      <c r="QCE79" s="5"/>
      <c r="QCF79" s="5"/>
      <c r="QCG79" s="5"/>
      <c r="QCH79" s="5"/>
      <c r="QCI79" s="5"/>
      <c r="QCJ79" s="5"/>
      <c r="QCK79" s="5"/>
      <c r="QCL79" s="5"/>
      <c r="QCM79" s="5"/>
      <c r="QCN79" s="5"/>
      <c r="QCO79" s="5"/>
      <c r="QCP79" s="5"/>
      <c r="QCQ79" s="5"/>
      <c r="QCR79" s="5"/>
      <c r="QCS79" s="5"/>
      <c r="QCT79" s="5"/>
      <c r="QCU79" s="5"/>
      <c r="QCV79" s="5"/>
      <c r="QCW79" s="5"/>
      <c r="QCX79" s="5"/>
      <c r="QCY79" s="5"/>
      <c r="QCZ79" s="5"/>
      <c r="QDA79" s="5"/>
      <c r="QDB79" s="5"/>
      <c r="QDC79" s="5"/>
      <c r="QDD79" s="5"/>
      <c r="QDE79" s="5"/>
      <c r="QDF79" s="5"/>
      <c r="QDG79" s="5"/>
      <c r="QDH79" s="5"/>
      <c r="QDI79" s="5"/>
      <c r="QDJ79" s="5"/>
      <c r="QDK79" s="5"/>
      <c r="QDL79" s="5"/>
      <c r="QDM79" s="5"/>
      <c r="QDN79" s="5"/>
      <c r="QDO79" s="5"/>
      <c r="QDP79" s="5"/>
      <c r="QDQ79" s="5"/>
      <c r="QDR79" s="5"/>
      <c r="QDS79" s="5"/>
      <c r="QDT79" s="5"/>
      <c r="QDU79" s="5"/>
      <c r="QDV79" s="5"/>
      <c r="QDW79" s="5"/>
      <c r="QDX79" s="5"/>
      <c r="QDY79" s="5"/>
      <c r="QDZ79" s="5"/>
      <c r="QEA79" s="5"/>
      <c r="QEB79" s="5"/>
      <c r="QEC79" s="5"/>
      <c r="QED79" s="5"/>
      <c r="QEE79" s="5"/>
      <c r="QEF79" s="5"/>
      <c r="QEG79" s="5"/>
      <c r="QEH79" s="5"/>
      <c r="QEI79" s="5"/>
      <c r="QEJ79" s="5"/>
      <c r="QEK79" s="5"/>
      <c r="QEL79" s="5"/>
      <c r="QEM79" s="5"/>
      <c r="QEN79" s="5"/>
      <c r="QEO79" s="5"/>
      <c r="QEP79" s="5"/>
      <c r="QEQ79" s="5"/>
      <c r="QER79" s="5"/>
      <c r="QES79" s="5"/>
      <c r="QET79" s="5"/>
      <c r="QEU79" s="5"/>
      <c r="QEV79" s="5"/>
      <c r="QEW79" s="5"/>
      <c r="QEX79" s="5"/>
      <c r="QEY79" s="5"/>
      <c r="QEZ79" s="5"/>
      <c r="QFA79" s="5"/>
      <c r="QFB79" s="5"/>
      <c r="QFC79" s="5"/>
      <c r="QFD79" s="5"/>
      <c r="QFE79" s="5"/>
      <c r="QFF79" s="5"/>
      <c r="QFG79" s="5"/>
      <c r="QFH79" s="5"/>
      <c r="QFI79" s="5"/>
      <c r="QFJ79" s="5"/>
      <c r="QFK79" s="5"/>
      <c r="QFL79" s="5"/>
      <c r="QFM79" s="5"/>
      <c r="QFN79" s="5"/>
      <c r="QFO79" s="5"/>
      <c r="QFP79" s="5"/>
      <c r="QFQ79" s="5"/>
      <c r="QFR79" s="5"/>
      <c r="QFS79" s="5"/>
      <c r="QFT79" s="5"/>
      <c r="QFU79" s="5"/>
      <c r="QFV79" s="5"/>
      <c r="QFW79" s="5"/>
      <c r="QFX79" s="5"/>
      <c r="QFY79" s="5"/>
      <c r="QFZ79" s="5"/>
      <c r="QGA79" s="5"/>
      <c r="QGB79" s="5"/>
      <c r="QGC79" s="5"/>
      <c r="QGD79" s="5"/>
      <c r="QGE79" s="5"/>
      <c r="QGF79" s="5"/>
      <c r="QGG79" s="5"/>
      <c r="QGH79" s="5"/>
      <c r="QGI79" s="5"/>
      <c r="QGJ79" s="5"/>
      <c r="QGK79" s="5"/>
      <c r="QGL79" s="5"/>
      <c r="QGM79" s="5"/>
      <c r="QGN79" s="5"/>
      <c r="QGO79" s="5"/>
      <c r="QGP79" s="5"/>
      <c r="QGQ79" s="5"/>
      <c r="QGR79" s="5"/>
      <c r="QGS79" s="5"/>
      <c r="QGT79" s="5"/>
      <c r="QGU79" s="5"/>
      <c r="QGV79" s="5"/>
      <c r="QGW79" s="5"/>
      <c r="QGX79" s="5"/>
      <c r="QGY79" s="5"/>
      <c r="QGZ79" s="5"/>
      <c r="QHA79" s="5"/>
      <c r="QHB79" s="5"/>
      <c r="QHC79" s="5"/>
      <c r="QHD79" s="5"/>
      <c r="QHE79" s="5"/>
      <c r="QHF79" s="5"/>
      <c r="QHG79" s="5"/>
      <c r="QHH79" s="5"/>
      <c r="QHI79" s="5"/>
      <c r="QHJ79" s="5"/>
      <c r="QHK79" s="5"/>
      <c r="QHL79" s="5"/>
      <c r="QHM79" s="5"/>
      <c r="QHN79" s="5"/>
      <c r="QHO79" s="5"/>
      <c r="QHP79" s="5"/>
      <c r="QHQ79" s="5"/>
      <c r="QHR79" s="5"/>
      <c r="QHS79" s="5"/>
      <c r="QHT79" s="5"/>
      <c r="QHU79" s="5"/>
      <c r="QHV79" s="5"/>
      <c r="QHW79" s="5"/>
      <c r="QHX79" s="5"/>
      <c r="QHY79" s="5"/>
      <c r="QHZ79" s="5"/>
      <c r="QIA79" s="5"/>
      <c r="QIB79" s="5"/>
      <c r="QIC79" s="5"/>
      <c r="QID79" s="5"/>
      <c r="QIE79" s="5"/>
      <c r="QIF79" s="5"/>
      <c r="QIG79" s="5"/>
      <c r="QIH79" s="5"/>
      <c r="QII79" s="5"/>
      <c r="QIJ79" s="5"/>
      <c r="QIK79" s="5"/>
      <c r="QIL79" s="5"/>
      <c r="QIM79" s="5"/>
      <c r="QIN79" s="5"/>
      <c r="QIO79" s="5"/>
      <c r="QIP79" s="5"/>
      <c r="QIQ79" s="5"/>
      <c r="QIR79" s="5"/>
      <c r="QIS79" s="5"/>
      <c r="QIT79" s="5"/>
      <c r="QIU79" s="5"/>
      <c r="QIV79" s="5"/>
      <c r="QIW79" s="5"/>
      <c r="QIX79" s="5"/>
      <c r="QIY79" s="5"/>
      <c r="QIZ79" s="5"/>
      <c r="QJA79" s="5"/>
      <c r="QJB79" s="5"/>
      <c r="QJC79" s="5"/>
      <c r="QJD79" s="5"/>
      <c r="QJE79" s="5"/>
      <c r="QJF79" s="5"/>
      <c r="QJG79" s="5"/>
      <c r="QJH79" s="5"/>
      <c r="QJI79" s="5"/>
      <c r="QJJ79" s="5"/>
      <c r="QJK79" s="5"/>
      <c r="QJL79" s="5"/>
      <c r="QJM79" s="5"/>
      <c r="QJN79" s="5"/>
      <c r="QJO79" s="5"/>
      <c r="QJP79" s="5"/>
      <c r="QJQ79" s="5"/>
      <c r="QJR79" s="5"/>
      <c r="QJS79" s="5"/>
      <c r="QJT79" s="5"/>
      <c r="QJU79" s="5"/>
      <c r="QJV79" s="5"/>
      <c r="QJW79" s="5"/>
      <c r="QJX79" s="5"/>
      <c r="QJY79" s="5"/>
      <c r="QJZ79" s="5"/>
      <c r="QKA79" s="5"/>
      <c r="QKB79" s="5"/>
      <c r="QKC79" s="5"/>
      <c r="QKD79" s="5"/>
      <c r="QKE79" s="5"/>
      <c r="QKF79" s="5"/>
      <c r="QKG79" s="5"/>
      <c r="QKH79" s="5"/>
      <c r="QKI79" s="5"/>
      <c r="QKJ79" s="5"/>
      <c r="QKK79" s="5"/>
      <c r="QKL79" s="5"/>
      <c r="QKM79" s="5"/>
      <c r="QKN79" s="5"/>
      <c r="QKO79" s="5"/>
      <c r="QKP79" s="5"/>
      <c r="QKQ79" s="5"/>
      <c r="QKR79" s="5"/>
      <c r="QKS79" s="5"/>
      <c r="QKT79" s="5"/>
      <c r="QKU79" s="5"/>
      <c r="QKV79" s="5"/>
      <c r="QKW79" s="5"/>
      <c r="QKX79" s="5"/>
      <c r="QKY79" s="5"/>
      <c r="QKZ79" s="5"/>
      <c r="QLA79" s="5"/>
      <c r="QLB79" s="5"/>
      <c r="QLC79" s="5"/>
      <c r="QLD79" s="5"/>
      <c r="QLE79" s="5"/>
      <c r="QLF79" s="5"/>
      <c r="QLG79" s="5"/>
      <c r="QLH79" s="5"/>
      <c r="QLI79" s="5"/>
      <c r="QLJ79" s="5"/>
      <c r="QLK79" s="5"/>
      <c r="QLL79" s="5"/>
      <c r="QLM79" s="5"/>
      <c r="QLN79" s="5"/>
      <c r="QLO79" s="5"/>
      <c r="QLP79" s="5"/>
      <c r="QLQ79" s="5"/>
      <c r="QLR79" s="5"/>
      <c r="QLS79" s="5"/>
      <c r="QLT79" s="5"/>
      <c r="QLU79" s="5"/>
      <c r="QLV79" s="5"/>
      <c r="QLW79" s="5"/>
      <c r="QLX79" s="5"/>
      <c r="QLY79" s="5"/>
      <c r="QLZ79" s="5"/>
      <c r="QMA79" s="5"/>
      <c r="QMB79" s="5"/>
      <c r="QMC79" s="5"/>
      <c r="QMD79" s="5"/>
      <c r="QME79" s="5"/>
      <c r="QMF79" s="5"/>
      <c r="QMG79" s="5"/>
      <c r="QMH79" s="5"/>
      <c r="QMI79" s="5"/>
      <c r="QMJ79" s="5"/>
      <c r="QMK79" s="5"/>
      <c r="QML79" s="5"/>
      <c r="QMM79" s="5"/>
      <c r="QMN79" s="5"/>
      <c r="QMO79" s="5"/>
      <c r="QMP79" s="5"/>
      <c r="QMQ79" s="5"/>
      <c r="QMR79" s="5"/>
      <c r="QMS79" s="5"/>
      <c r="QMT79" s="5"/>
      <c r="QMU79" s="5"/>
      <c r="QMV79" s="5"/>
      <c r="QMW79" s="5"/>
      <c r="QMX79" s="5"/>
      <c r="QMY79" s="5"/>
      <c r="QMZ79" s="5"/>
      <c r="QNA79" s="5"/>
      <c r="QNB79" s="5"/>
      <c r="QNC79" s="5"/>
      <c r="QND79" s="5"/>
      <c r="QNE79" s="5"/>
      <c r="QNF79" s="5"/>
      <c r="QNG79" s="5"/>
      <c r="QNH79" s="5"/>
      <c r="QNI79" s="5"/>
      <c r="QNJ79" s="5"/>
      <c r="QNK79" s="5"/>
      <c r="QNL79" s="5"/>
      <c r="QNM79" s="5"/>
      <c r="QNN79" s="5"/>
      <c r="QNO79" s="5"/>
      <c r="QNP79" s="5"/>
      <c r="QNQ79" s="5"/>
      <c r="QNR79" s="5"/>
      <c r="QNS79" s="5"/>
      <c r="QNT79" s="5"/>
      <c r="QNU79" s="5"/>
      <c r="QNV79" s="5"/>
      <c r="QNW79" s="5"/>
      <c r="QNX79" s="5"/>
      <c r="QNY79" s="5"/>
      <c r="QNZ79" s="5"/>
      <c r="QOA79" s="5"/>
      <c r="QOB79" s="5"/>
      <c r="QOC79" s="5"/>
      <c r="QOD79" s="5"/>
      <c r="QOE79" s="5"/>
      <c r="QOF79" s="5"/>
      <c r="QOG79" s="5"/>
      <c r="QOH79" s="5"/>
      <c r="QOI79" s="5"/>
      <c r="QOJ79" s="5"/>
      <c r="QOK79" s="5"/>
      <c r="QOL79" s="5"/>
      <c r="QOM79" s="5"/>
      <c r="QON79" s="5"/>
      <c r="QOO79" s="5"/>
      <c r="QOP79" s="5"/>
      <c r="QOQ79" s="5"/>
      <c r="QOR79" s="5"/>
      <c r="QOS79" s="5"/>
      <c r="QOT79" s="5"/>
      <c r="QOU79" s="5"/>
      <c r="QOV79" s="5"/>
      <c r="QOW79" s="5"/>
      <c r="QOX79" s="5"/>
      <c r="QOY79" s="5"/>
      <c r="QOZ79" s="5"/>
      <c r="QPA79" s="5"/>
      <c r="QPB79" s="5"/>
      <c r="QPC79" s="5"/>
      <c r="QPD79" s="5"/>
      <c r="QPE79" s="5"/>
      <c r="QPF79" s="5"/>
      <c r="QPG79" s="5"/>
      <c r="QPH79" s="5"/>
      <c r="QPI79" s="5"/>
      <c r="QPJ79" s="5"/>
      <c r="QPK79" s="5"/>
      <c r="QPL79" s="5"/>
      <c r="QPM79" s="5"/>
      <c r="QPN79" s="5"/>
      <c r="QPO79" s="5"/>
      <c r="QPP79" s="5"/>
      <c r="QPQ79" s="5"/>
      <c r="QPR79" s="5"/>
      <c r="QPS79" s="5"/>
      <c r="QPT79" s="5"/>
      <c r="QPU79" s="5"/>
      <c r="QPV79" s="5"/>
      <c r="QPW79" s="5"/>
      <c r="QPX79" s="5"/>
      <c r="QPY79" s="5"/>
      <c r="QPZ79" s="5"/>
      <c r="QQA79" s="5"/>
      <c r="QQB79" s="5"/>
      <c r="QQC79" s="5"/>
      <c r="QQD79" s="5"/>
      <c r="QQE79" s="5"/>
      <c r="QQF79" s="5"/>
      <c r="QQG79" s="5"/>
      <c r="QQH79" s="5"/>
      <c r="QQI79" s="5"/>
      <c r="QQJ79" s="5"/>
      <c r="QQK79" s="5"/>
      <c r="QQL79" s="5"/>
      <c r="QQM79" s="5"/>
      <c r="QQN79" s="5"/>
      <c r="QQO79" s="5"/>
      <c r="QQP79" s="5"/>
      <c r="QQQ79" s="5"/>
      <c r="QQR79" s="5"/>
      <c r="QQS79" s="5"/>
      <c r="QQT79" s="5"/>
      <c r="QQU79" s="5"/>
      <c r="QQV79" s="5"/>
      <c r="QQW79" s="5"/>
      <c r="QQX79" s="5"/>
      <c r="QQY79" s="5"/>
      <c r="QQZ79" s="5"/>
      <c r="QRA79" s="5"/>
      <c r="QRB79" s="5"/>
      <c r="QRC79" s="5"/>
      <c r="QRD79" s="5"/>
      <c r="QRE79" s="5"/>
      <c r="QRF79" s="5"/>
      <c r="QRG79" s="5"/>
      <c r="QRH79" s="5"/>
      <c r="QRI79" s="5"/>
      <c r="QRJ79" s="5"/>
      <c r="QRK79" s="5"/>
      <c r="QRL79" s="5"/>
      <c r="QRM79" s="5"/>
      <c r="QRN79" s="5"/>
      <c r="QRO79" s="5"/>
      <c r="QRP79" s="5"/>
      <c r="QRQ79" s="5"/>
      <c r="QRR79" s="5"/>
      <c r="QRS79" s="5"/>
      <c r="QRT79" s="5"/>
      <c r="QRU79" s="5"/>
      <c r="QRV79" s="5"/>
      <c r="QRW79" s="5"/>
      <c r="QRX79" s="5"/>
      <c r="QRY79" s="5"/>
      <c r="QRZ79" s="5"/>
      <c r="QSA79" s="5"/>
      <c r="QSB79" s="5"/>
      <c r="QSC79" s="5"/>
      <c r="QSD79" s="5"/>
      <c r="QSE79" s="5"/>
      <c r="QSF79" s="5"/>
      <c r="QSG79" s="5"/>
      <c r="QSH79" s="5"/>
      <c r="QSI79" s="5"/>
      <c r="QSJ79" s="5"/>
      <c r="QSK79" s="5"/>
      <c r="QSL79" s="5"/>
      <c r="QSM79" s="5"/>
      <c r="QSN79" s="5"/>
      <c r="QSO79" s="5"/>
      <c r="QSP79" s="5"/>
      <c r="QSQ79" s="5"/>
      <c r="QSR79" s="5"/>
      <c r="QSS79" s="5"/>
      <c r="QST79" s="5"/>
      <c r="QSU79" s="5"/>
      <c r="QSV79" s="5"/>
      <c r="QSW79" s="5"/>
      <c r="QSX79" s="5"/>
      <c r="QSY79" s="5"/>
      <c r="QSZ79" s="5"/>
      <c r="QTA79" s="5"/>
      <c r="QTB79" s="5"/>
      <c r="QTC79" s="5"/>
      <c r="QTD79" s="5"/>
      <c r="QTE79" s="5"/>
      <c r="QTF79" s="5"/>
      <c r="QTG79" s="5"/>
      <c r="QTH79" s="5"/>
      <c r="QTI79" s="5"/>
      <c r="QTJ79" s="5"/>
      <c r="QTK79" s="5"/>
      <c r="QTL79" s="5"/>
      <c r="QTM79" s="5"/>
      <c r="QTN79" s="5"/>
      <c r="QTO79" s="5"/>
      <c r="QTP79" s="5"/>
      <c r="QTQ79" s="5"/>
      <c r="QTR79" s="5"/>
      <c r="QTS79" s="5"/>
      <c r="QTT79" s="5"/>
      <c r="QTU79" s="5"/>
      <c r="QTV79" s="5"/>
      <c r="QTW79" s="5"/>
      <c r="QTX79" s="5"/>
      <c r="QTY79" s="5"/>
      <c r="QTZ79" s="5"/>
      <c r="QUA79" s="5"/>
      <c r="QUB79" s="5"/>
      <c r="QUC79" s="5"/>
      <c r="QUD79" s="5"/>
      <c r="QUE79" s="5"/>
      <c r="QUF79" s="5"/>
      <c r="QUG79" s="5"/>
      <c r="QUH79" s="5"/>
      <c r="QUI79" s="5"/>
      <c r="QUJ79" s="5"/>
      <c r="QUK79" s="5"/>
      <c r="QUL79" s="5"/>
      <c r="QUM79" s="5"/>
      <c r="QUN79" s="5"/>
      <c r="QUO79" s="5"/>
      <c r="QUP79" s="5"/>
      <c r="QUQ79" s="5"/>
      <c r="QUR79" s="5"/>
      <c r="QUS79" s="5"/>
      <c r="QUT79" s="5"/>
      <c r="QUU79" s="5"/>
      <c r="QUV79" s="5"/>
      <c r="QUW79" s="5"/>
      <c r="QUX79" s="5"/>
      <c r="QUY79" s="5"/>
      <c r="QUZ79" s="5"/>
      <c r="QVA79" s="5"/>
      <c r="QVB79" s="5"/>
      <c r="QVC79" s="5"/>
      <c r="QVD79" s="5"/>
      <c r="QVE79" s="5"/>
      <c r="QVF79" s="5"/>
      <c r="QVG79" s="5"/>
      <c r="QVH79" s="5"/>
      <c r="QVI79" s="5"/>
      <c r="QVJ79" s="5"/>
      <c r="QVK79" s="5"/>
      <c r="QVL79" s="5"/>
      <c r="QVM79" s="5"/>
      <c r="QVN79" s="5"/>
      <c r="QVO79" s="5"/>
      <c r="QVP79" s="5"/>
      <c r="QVQ79" s="5"/>
      <c r="QVR79" s="5"/>
      <c r="QVS79" s="5"/>
      <c r="QVT79" s="5"/>
      <c r="QVU79" s="5"/>
      <c r="QVV79" s="5"/>
      <c r="QVW79" s="5"/>
      <c r="QVX79" s="5"/>
      <c r="QVY79" s="5"/>
      <c r="QVZ79" s="5"/>
      <c r="QWA79" s="5"/>
      <c r="QWB79" s="5"/>
      <c r="QWC79" s="5"/>
      <c r="QWD79" s="5"/>
      <c r="QWE79" s="5"/>
      <c r="QWF79" s="5"/>
      <c r="QWG79" s="5"/>
      <c r="QWH79" s="5"/>
      <c r="QWI79" s="5"/>
      <c r="QWJ79" s="5"/>
      <c r="QWK79" s="5"/>
      <c r="QWL79" s="5"/>
      <c r="QWM79" s="5"/>
      <c r="QWN79" s="5"/>
      <c r="QWO79" s="5"/>
      <c r="QWP79" s="5"/>
      <c r="QWQ79" s="5"/>
      <c r="QWR79" s="5"/>
      <c r="QWS79" s="5"/>
      <c r="QWT79" s="5"/>
      <c r="QWU79" s="5"/>
      <c r="QWV79" s="5"/>
      <c r="QWW79" s="5"/>
      <c r="QWX79" s="5"/>
      <c r="QWY79" s="5"/>
      <c r="QWZ79" s="5"/>
      <c r="QXA79" s="5"/>
      <c r="QXB79" s="5"/>
      <c r="QXC79" s="5"/>
      <c r="QXD79" s="5"/>
      <c r="QXE79" s="5"/>
      <c r="QXF79" s="5"/>
      <c r="QXG79" s="5"/>
      <c r="QXH79" s="5"/>
      <c r="QXI79" s="5"/>
      <c r="QXJ79" s="5"/>
      <c r="QXK79" s="5"/>
      <c r="QXL79" s="5"/>
      <c r="QXM79" s="5"/>
      <c r="QXN79" s="5"/>
      <c r="QXO79" s="5"/>
      <c r="QXP79" s="5"/>
      <c r="QXQ79" s="5"/>
      <c r="QXR79" s="5"/>
      <c r="QXS79" s="5"/>
      <c r="QXT79" s="5"/>
      <c r="QXU79" s="5"/>
      <c r="QXV79" s="5"/>
      <c r="QXW79" s="5"/>
      <c r="QXX79" s="5"/>
      <c r="QXY79" s="5"/>
      <c r="QXZ79" s="5"/>
      <c r="QYA79" s="5"/>
      <c r="QYB79" s="5"/>
      <c r="QYC79" s="5"/>
      <c r="QYD79" s="5"/>
      <c r="QYE79" s="5"/>
      <c r="QYF79" s="5"/>
      <c r="QYG79" s="5"/>
      <c r="QYH79" s="5"/>
      <c r="QYI79" s="5"/>
      <c r="QYJ79" s="5"/>
      <c r="QYK79" s="5"/>
      <c r="QYL79" s="5"/>
      <c r="QYM79" s="5"/>
      <c r="QYN79" s="5"/>
      <c r="QYO79" s="5"/>
      <c r="QYP79" s="5"/>
      <c r="QYQ79" s="5"/>
      <c r="QYR79" s="5"/>
      <c r="QYS79" s="5"/>
      <c r="QYT79" s="5"/>
      <c r="QYU79" s="5"/>
      <c r="QYV79" s="5"/>
      <c r="QYW79" s="5"/>
      <c r="QYX79" s="5"/>
      <c r="QYY79" s="5"/>
      <c r="QYZ79" s="5"/>
      <c r="QZA79" s="5"/>
      <c r="QZB79" s="5"/>
      <c r="QZC79" s="5"/>
      <c r="QZD79" s="5"/>
      <c r="QZE79" s="5"/>
      <c r="QZF79" s="5"/>
      <c r="QZG79" s="5"/>
      <c r="QZH79" s="5"/>
      <c r="QZI79" s="5"/>
      <c r="QZJ79" s="5"/>
      <c r="QZK79" s="5"/>
      <c r="QZL79" s="5"/>
      <c r="QZM79" s="5"/>
      <c r="QZN79" s="5"/>
      <c r="QZO79" s="5"/>
      <c r="QZP79" s="5"/>
      <c r="QZQ79" s="5"/>
      <c r="QZR79" s="5"/>
      <c r="QZS79" s="5"/>
      <c r="QZT79" s="5"/>
      <c r="QZU79" s="5"/>
      <c r="QZV79" s="5"/>
      <c r="QZW79" s="5"/>
      <c r="QZX79" s="5"/>
      <c r="QZY79" s="5"/>
      <c r="QZZ79" s="5"/>
      <c r="RAA79" s="5"/>
      <c r="RAB79" s="5"/>
      <c r="RAC79" s="5"/>
      <c r="RAD79" s="5"/>
      <c r="RAE79" s="5"/>
      <c r="RAF79" s="5"/>
      <c r="RAG79" s="5"/>
      <c r="RAH79" s="5"/>
      <c r="RAI79" s="5"/>
      <c r="RAJ79" s="5"/>
      <c r="RAK79" s="5"/>
      <c r="RAL79" s="5"/>
      <c r="RAM79" s="5"/>
      <c r="RAN79" s="5"/>
      <c r="RAO79" s="5"/>
      <c r="RAP79" s="5"/>
      <c r="RAQ79" s="5"/>
      <c r="RAR79" s="5"/>
      <c r="RAS79" s="5"/>
      <c r="RAT79" s="5"/>
      <c r="RAU79" s="5"/>
      <c r="RAV79" s="5"/>
      <c r="RAW79" s="5"/>
      <c r="RAX79" s="5"/>
      <c r="RAY79" s="5"/>
      <c r="RAZ79" s="5"/>
      <c r="RBA79" s="5"/>
      <c r="RBB79" s="5"/>
      <c r="RBC79" s="5"/>
      <c r="RBD79" s="5"/>
      <c r="RBE79" s="5"/>
      <c r="RBF79" s="5"/>
      <c r="RBG79" s="5"/>
      <c r="RBH79" s="5"/>
      <c r="RBI79" s="5"/>
      <c r="RBJ79" s="5"/>
      <c r="RBK79" s="5"/>
      <c r="RBL79" s="5"/>
      <c r="RBM79" s="5"/>
      <c r="RBN79" s="5"/>
      <c r="RBO79" s="5"/>
      <c r="RBP79" s="5"/>
      <c r="RBQ79" s="5"/>
      <c r="RBR79" s="5"/>
      <c r="RBS79" s="5"/>
      <c r="RBT79" s="5"/>
      <c r="RBU79" s="5"/>
      <c r="RBV79" s="5"/>
      <c r="RBW79" s="5"/>
      <c r="RBX79" s="5"/>
      <c r="RBY79" s="5"/>
      <c r="RBZ79" s="5"/>
      <c r="RCA79" s="5"/>
      <c r="RCB79" s="5"/>
      <c r="RCC79" s="5"/>
      <c r="RCD79" s="5"/>
      <c r="RCE79" s="5"/>
      <c r="RCF79" s="5"/>
      <c r="RCG79" s="5"/>
      <c r="RCH79" s="5"/>
      <c r="RCI79" s="5"/>
      <c r="RCJ79" s="5"/>
      <c r="RCK79" s="5"/>
      <c r="RCL79" s="5"/>
      <c r="RCM79" s="5"/>
      <c r="RCN79" s="5"/>
      <c r="RCO79" s="5"/>
      <c r="RCP79" s="5"/>
      <c r="RCQ79" s="5"/>
      <c r="RCR79" s="5"/>
      <c r="RCS79" s="5"/>
      <c r="RCT79" s="5"/>
      <c r="RCU79" s="5"/>
      <c r="RCV79" s="5"/>
      <c r="RCW79" s="5"/>
      <c r="RCX79" s="5"/>
      <c r="RCY79" s="5"/>
      <c r="RCZ79" s="5"/>
      <c r="RDA79" s="5"/>
      <c r="RDB79" s="5"/>
      <c r="RDC79" s="5"/>
      <c r="RDD79" s="5"/>
      <c r="RDE79" s="5"/>
      <c r="RDF79" s="5"/>
      <c r="RDG79" s="5"/>
      <c r="RDH79" s="5"/>
      <c r="RDI79" s="5"/>
      <c r="RDJ79" s="5"/>
      <c r="RDK79" s="5"/>
      <c r="RDL79" s="5"/>
      <c r="RDM79" s="5"/>
      <c r="RDN79" s="5"/>
      <c r="RDO79" s="5"/>
      <c r="RDP79" s="5"/>
      <c r="RDQ79" s="5"/>
      <c r="RDR79" s="5"/>
      <c r="RDS79" s="5"/>
      <c r="RDT79" s="5"/>
      <c r="RDU79" s="5"/>
      <c r="RDV79" s="5"/>
      <c r="RDW79" s="5"/>
      <c r="RDX79" s="5"/>
      <c r="RDY79" s="5"/>
      <c r="RDZ79" s="5"/>
      <c r="REA79" s="5"/>
      <c r="REB79" s="5"/>
      <c r="REC79" s="5"/>
      <c r="RED79" s="5"/>
      <c r="REE79" s="5"/>
      <c r="REF79" s="5"/>
      <c r="REG79" s="5"/>
      <c r="REH79" s="5"/>
      <c r="REI79" s="5"/>
      <c r="REJ79" s="5"/>
      <c r="REK79" s="5"/>
      <c r="REL79" s="5"/>
      <c r="REM79" s="5"/>
      <c r="REN79" s="5"/>
      <c r="REO79" s="5"/>
      <c r="REP79" s="5"/>
      <c r="REQ79" s="5"/>
      <c r="RER79" s="5"/>
      <c r="RES79" s="5"/>
      <c r="RET79" s="5"/>
      <c r="REU79" s="5"/>
      <c r="REV79" s="5"/>
      <c r="REW79" s="5"/>
      <c r="REX79" s="5"/>
      <c r="REY79" s="5"/>
      <c r="REZ79" s="5"/>
      <c r="RFA79" s="5"/>
      <c r="RFB79" s="5"/>
      <c r="RFC79" s="5"/>
      <c r="RFD79" s="5"/>
      <c r="RFE79" s="5"/>
      <c r="RFF79" s="5"/>
      <c r="RFG79" s="5"/>
      <c r="RFH79" s="5"/>
      <c r="RFI79" s="5"/>
      <c r="RFJ79" s="5"/>
      <c r="RFK79" s="5"/>
      <c r="RFL79" s="5"/>
      <c r="RFM79" s="5"/>
      <c r="RFN79" s="5"/>
      <c r="RFO79" s="5"/>
      <c r="RFP79" s="5"/>
      <c r="RFQ79" s="5"/>
      <c r="RFR79" s="5"/>
      <c r="RFS79" s="5"/>
      <c r="RFT79" s="5"/>
      <c r="RFU79" s="5"/>
      <c r="RFV79" s="5"/>
      <c r="RFW79" s="5"/>
      <c r="RFX79" s="5"/>
      <c r="RFY79" s="5"/>
      <c r="RFZ79" s="5"/>
      <c r="RGA79" s="5"/>
      <c r="RGB79" s="5"/>
      <c r="RGC79" s="5"/>
      <c r="RGD79" s="5"/>
      <c r="RGE79" s="5"/>
      <c r="RGF79" s="5"/>
      <c r="RGG79" s="5"/>
      <c r="RGH79" s="5"/>
      <c r="RGI79" s="5"/>
      <c r="RGJ79" s="5"/>
      <c r="RGK79" s="5"/>
      <c r="RGL79" s="5"/>
      <c r="RGM79" s="5"/>
      <c r="RGN79" s="5"/>
      <c r="RGO79" s="5"/>
      <c r="RGP79" s="5"/>
      <c r="RGQ79" s="5"/>
      <c r="RGR79" s="5"/>
      <c r="RGS79" s="5"/>
      <c r="RGT79" s="5"/>
      <c r="RGU79" s="5"/>
      <c r="RGV79" s="5"/>
      <c r="RGW79" s="5"/>
      <c r="RGX79" s="5"/>
      <c r="RGY79" s="5"/>
      <c r="RGZ79" s="5"/>
      <c r="RHA79" s="5"/>
      <c r="RHB79" s="5"/>
      <c r="RHC79" s="5"/>
      <c r="RHD79" s="5"/>
      <c r="RHE79" s="5"/>
      <c r="RHF79" s="5"/>
      <c r="RHG79" s="5"/>
      <c r="RHH79" s="5"/>
      <c r="RHI79" s="5"/>
      <c r="RHJ79" s="5"/>
      <c r="RHK79" s="5"/>
      <c r="RHL79" s="5"/>
      <c r="RHM79" s="5"/>
      <c r="RHN79" s="5"/>
      <c r="RHO79" s="5"/>
      <c r="RHP79" s="5"/>
      <c r="RHQ79" s="5"/>
      <c r="RHR79" s="5"/>
      <c r="RHS79" s="5"/>
      <c r="RHT79" s="5"/>
      <c r="RHU79" s="5"/>
      <c r="RHV79" s="5"/>
      <c r="RHW79" s="5"/>
      <c r="RHX79" s="5"/>
      <c r="RHY79" s="5"/>
      <c r="RHZ79" s="5"/>
      <c r="RIA79" s="5"/>
      <c r="RIB79" s="5"/>
      <c r="RIC79" s="5"/>
      <c r="RID79" s="5"/>
      <c r="RIE79" s="5"/>
      <c r="RIF79" s="5"/>
      <c r="RIG79" s="5"/>
      <c r="RIH79" s="5"/>
      <c r="RII79" s="5"/>
      <c r="RIJ79" s="5"/>
      <c r="RIK79" s="5"/>
      <c r="RIL79" s="5"/>
      <c r="RIM79" s="5"/>
      <c r="RIN79" s="5"/>
      <c r="RIO79" s="5"/>
      <c r="RIP79" s="5"/>
      <c r="RIQ79" s="5"/>
      <c r="RIR79" s="5"/>
      <c r="RIS79" s="5"/>
      <c r="RIT79" s="5"/>
      <c r="RIU79" s="5"/>
      <c r="RIV79" s="5"/>
      <c r="RIW79" s="5"/>
      <c r="RIX79" s="5"/>
      <c r="RIY79" s="5"/>
      <c r="RIZ79" s="5"/>
      <c r="RJA79" s="5"/>
      <c r="RJB79" s="5"/>
      <c r="RJC79" s="5"/>
      <c r="RJD79" s="5"/>
      <c r="RJE79" s="5"/>
      <c r="RJF79" s="5"/>
      <c r="RJG79" s="5"/>
      <c r="RJH79" s="5"/>
      <c r="RJI79" s="5"/>
      <c r="RJJ79" s="5"/>
      <c r="RJK79" s="5"/>
      <c r="RJL79" s="5"/>
      <c r="RJM79" s="5"/>
      <c r="RJN79" s="5"/>
      <c r="RJO79" s="5"/>
      <c r="RJP79" s="5"/>
      <c r="RJQ79" s="5"/>
      <c r="RJR79" s="5"/>
      <c r="RJS79" s="5"/>
      <c r="RJT79" s="5"/>
      <c r="RJU79" s="5"/>
      <c r="RJV79" s="5"/>
      <c r="RJW79" s="5"/>
      <c r="RJX79" s="5"/>
      <c r="RJY79" s="5"/>
      <c r="RJZ79" s="5"/>
      <c r="RKA79" s="5"/>
      <c r="RKB79" s="5"/>
      <c r="RKC79" s="5"/>
      <c r="RKD79" s="5"/>
      <c r="RKE79" s="5"/>
      <c r="RKF79" s="5"/>
      <c r="RKG79" s="5"/>
      <c r="RKH79" s="5"/>
      <c r="RKI79" s="5"/>
      <c r="RKJ79" s="5"/>
      <c r="RKK79" s="5"/>
      <c r="RKL79" s="5"/>
      <c r="RKM79" s="5"/>
      <c r="RKN79" s="5"/>
      <c r="RKO79" s="5"/>
      <c r="RKP79" s="5"/>
      <c r="RKQ79" s="5"/>
      <c r="RKR79" s="5"/>
      <c r="RKS79" s="5"/>
      <c r="RKT79" s="5"/>
      <c r="RKU79" s="5"/>
      <c r="RKV79" s="5"/>
      <c r="RKW79" s="5"/>
      <c r="RKX79" s="5"/>
      <c r="RKY79" s="5"/>
      <c r="RKZ79" s="5"/>
      <c r="RLA79" s="5"/>
      <c r="RLB79" s="5"/>
      <c r="RLC79" s="5"/>
      <c r="RLD79" s="5"/>
      <c r="RLE79" s="5"/>
      <c r="RLF79" s="5"/>
      <c r="RLG79" s="5"/>
      <c r="RLH79" s="5"/>
      <c r="RLI79" s="5"/>
      <c r="RLJ79" s="5"/>
      <c r="RLK79" s="5"/>
      <c r="RLL79" s="5"/>
      <c r="RLM79" s="5"/>
      <c r="RLN79" s="5"/>
      <c r="RLO79" s="5"/>
      <c r="RLP79" s="5"/>
      <c r="RLQ79" s="5"/>
      <c r="RLR79" s="5"/>
      <c r="RLS79" s="5"/>
      <c r="RLT79" s="5"/>
      <c r="RLU79" s="5"/>
      <c r="RLV79" s="5"/>
      <c r="RLW79" s="5"/>
      <c r="RLX79" s="5"/>
      <c r="RLY79" s="5"/>
      <c r="RLZ79" s="5"/>
      <c r="RMA79" s="5"/>
      <c r="RMB79" s="5"/>
      <c r="RMC79" s="5"/>
      <c r="RMD79" s="5"/>
      <c r="RME79" s="5"/>
      <c r="RMF79" s="5"/>
      <c r="RMG79" s="5"/>
      <c r="RMH79" s="5"/>
      <c r="RMI79" s="5"/>
      <c r="RMJ79" s="5"/>
      <c r="RMK79" s="5"/>
      <c r="RML79" s="5"/>
      <c r="RMM79" s="5"/>
      <c r="RMN79" s="5"/>
      <c r="RMO79" s="5"/>
      <c r="RMP79" s="5"/>
      <c r="RMQ79" s="5"/>
      <c r="RMR79" s="5"/>
      <c r="RMS79" s="5"/>
      <c r="RMT79" s="5"/>
      <c r="RMU79" s="5"/>
      <c r="RMV79" s="5"/>
      <c r="RMW79" s="5"/>
      <c r="RMX79" s="5"/>
      <c r="RMY79" s="5"/>
      <c r="RMZ79" s="5"/>
      <c r="RNA79" s="5"/>
      <c r="RNB79" s="5"/>
      <c r="RNC79" s="5"/>
      <c r="RND79" s="5"/>
      <c r="RNE79" s="5"/>
      <c r="RNF79" s="5"/>
      <c r="RNG79" s="5"/>
      <c r="RNH79" s="5"/>
      <c r="RNI79" s="5"/>
      <c r="RNJ79" s="5"/>
      <c r="RNK79" s="5"/>
      <c r="RNL79" s="5"/>
      <c r="RNM79" s="5"/>
      <c r="RNN79" s="5"/>
      <c r="RNO79" s="5"/>
      <c r="RNP79" s="5"/>
      <c r="RNQ79" s="5"/>
      <c r="RNR79" s="5"/>
      <c r="RNS79" s="5"/>
      <c r="RNT79" s="5"/>
      <c r="RNU79" s="5"/>
      <c r="RNV79" s="5"/>
      <c r="RNW79" s="5"/>
      <c r="RNX79" s="5"/>
      <c r="RNY79" s="5"/>
      <c r="RNZ79" s="5"/>
      <c r="ROA79" s="5"/>
      <c r="ROB79" s="5"/>
      <c r="ROC79" s="5"/>
      <c r="ROD79" s="5"/>
      <c r="ROE79" s="5"/>
      <c r="ROF79" s="5"/>
      <c r="ROG79" s="5"/>
      <c r="ROH79" s="5"/>
      <c r="ROI79" s="5"/>
      <c r="ROJ79" s="5"/>
      <c r="ROK79" s="5"/>
      <c r="ROL79" s="5"/>
      <c r="ROM79" s="5"/>
      <c r="RON79" s="5"/>
      <c r="ROO79" s="5"/>
      <c r="ROP79" s="5"/>
      <c r="ROQ79" s="5"/>
      <c r="ROR79" s="5"/>
      <c r="ROS79" s="5"/>
      <c r="ROT79" s="5"/>
      <c r="ROU79" s="5"/>
      <c r="ROV79" s="5"/>
      <c r="ROW79" s="5"/>
      <c r="ROX79" s="5"/>
      <c r="ROY79" s="5"/>
      <c r="ROZ79" s="5"/>
      <c r="RPA79" s="5"/>
      <c r="RPB79" s="5"/>
      <c r="RPC79" s="5"/>
      <c r="RPD79" s="5"/>
      <c r="RPE79" s="5"/>
      <c r="RPF79" s="5"/>
      <c r="RPG79" s="5"/>
      <c r="RPH79" s="5"/>
      <c r="RPI79" s="5"/>
      <c r="RPJ79" s="5"/>
      <c r="RPK79" s="5"/>
      <c r="RPL79" s="5"/>
      <c r="RPM79" s="5"/>
      <c r="RPN79" s="5"/>
      <c r="RPO79" s="5"/>
      <c r="RPP79" s="5"/>
      <c r="RPQ79" s="5"/>
      <c r="RPR79" s="5"/>
      <c r="RPS79" s="5"/>
      <c r="RPT79" s="5"/>
      <c r="RPU79" s="5"/>
      <c r="RPV79" s="5"/>
      <c r="RPW79" s="5"/>
      <c r="RPX79" s="5"/>
      <c r="RPY79" s="5"/>
      <c r="RPZ79" s="5"/>
      <c r="RQA79" s="5"/>
      <c r="RQB79" s="5"/>
      <c r="RQC79" s="5"/>
      <c r="RQD79" s="5"/>
      <c r="RQE79" s="5"/>
      <c r="RQF79" s="5"/>
      <c r="RQG79" s="5"/>
      <c r="RQH79" s="5"/>
      <c r="RQI79" s="5"/>
      <c r="RQJ79" s="5"/>
      <c r="RQK79" s="5"/>
      <c r="RQL79" s="5"/>
      <c r="RQM79" s="5"/>
      <c r="RQN79" s="5"/>
      <c r="RQO79" s="5"/>
      <c r="RQP79" s="5"/>
      <c r="RQQ79" s="5"/>
      <c r="RQR79" s="5"/>
      <c r="RQS79" s="5"/>
      <c r="RQT79" s="5"/>
      <c r="RQU79" s="5"/>
      <c r="RQV79" s="5"/>
      <c r="RQW79" s="5"/>
      <c r="RQX79" s="5"/>
      <c r="RQY79" s="5"/>
      <c r="RQZ79" s="5"/>
      <c r="RRA79" s="5"/>
      <c r="RRB79" s="5"/>
      <c r="RRC79" s="5"/>
      <c r="RRD79" s="5"/>
      <c r="RRE79" s="5"/>
      <c r="RRF79" s="5"/>
      <c r="RRG79" s="5"/>
      <c r="RRH79" s="5"/>
      <c r="RRI79" s="5"/>
      <c r="RRJ79" s="5"/>
      <c r="RRK79" s="5"/>
      <c r="RRL79" s="5"/>
      <c r="RRM79" s="5"/>
      <c r="RRN79" s="5"/>
      <c r="RRO79" s="5"/>
      <c r="RRP79" s="5"/>
      <c r="RRQ79" s="5"/>
      <c r="RRR79" s="5"/>
      <c r="RRS79" s="5"/>
      <c r="RRT79" s="5"/>
      <c r="RRU79" s="5"/>
      <c r="RRV79" s="5"/>
      <c r="RRW79" s="5"/>
      <c r="RRX79" s="5"/>
      <c r="RRY79" s="5"/>
      <c r="RRZ79" s="5"/>
      <c r="RSA79" s="5"/>
      <c r="RSB79" s="5"/>
      <c r="RSC79" s="5"/>
      <c r="RSD79" s="5"/>
      <c r="RSE79" s="5"/>
      <c r="RSF79" s="5"/>
      <c r="RSG79" s="5"/>
      <c r="RSH79" s="5"/>
      <c r="RSI79" s="5"/>
      <c r="RSJ79" s="5"/>
      <c r="RSK79" s="5"/>
      <c r="RSL79" s="5"/>
      <c r="RSM79" s="5"/>
      <c r="RSN79" s="5"/>
      <c r="RSO79" s="5"/>
      <c r="RSP79" s="5"/>
      <c r="RSQ79" s="5"/>
      <c r="RSR79" s="5"/>
      <c r="RSS79" s="5"/>
      <c r="RST79" s="5"/>
      <c r="RSU79" s="5"/>
      <c r="RSV79" s="5"/>
      <c r="RSW79" s="5"/>
      <c r="RSX79" s="5"/>
      <c r="RSY79" s="5"/>
      <c r="RSZ79" s="5"/>
      <c r="RTA79" s="5"/>
      <c r="RTB79" s="5"/>
      <c r="RTC79" s="5"/>
      <c r="RTD79" s="5"/>
      <c r="RTE79" s="5"/>
      <c r="RTF79" s="5"/>
      <c r="RTG79" s="5"/>
      <c r="RTH79" s="5"/>
      <c r="RTI79" s="5"/>
      <c r="RTJ79" s="5"/>
      <c r="RTK79" s="5"/>
      <c r="RTL79" s="5"/>
      <c r="RTM79" s="5"/>
      <c r="RTN79" s="5"/>
      <c r="RTO79" s="5"/>
      <c r="RTP79" s="5"/>
      <c r="RTQ79" s="5"/>
      <c r="RTR79" s="5"/>
      <c r="RTS79" s="5"/>
      <c r="RTT79" s="5"/>
      <c r="RTU79" s="5"/>
      <c r="RTV79" s="5"/>
      <c r="RTW79" s="5"/>
      <c r="RTX79" s="5"/>
      <c r="RTY79" s="5"/>
      <c r="RTZ79" s="5"/>
      <c r="RUA79" s="5"/>
      <c r="RUB79" s="5"/>
      <c r="RUC79" s="5"/>
      <c r="RUD79" s="5"/>
      <c r="RUE79" s="5"/>
      <c r="RUF79" s="5"/>
      <c r="RUG79" s="5"/>
      <c r="RUH79" s="5"/>
      <c r="RUI79" s="5"/>
      <c r="RUJ79" s="5"/>
      <c r="RUK79" s="5"/>
      <c r="RUL79" s="5"/>
      <c r="RUM79" s="5"/>
      <c r="RUN79" s="5"/>
      <c r="RUO79" s="5"/>
      <c r="RUP79" s="5"/>
      <c r="RUQ79" s="5"/>
      <c r="RUR79" s="5"/>
      <c r="RUS79" s="5"/>
      <c r="RUT79" s="5"/>
      <c r="RUU79" s="5"/>
      <c r="RUV79" s="5"/>
      <c r="RUW79" s="5"/>
      <c r="RUX79" s="5"/>
      <c r="RUY79" s="5"/>
      <c r="RUZ79" s="5"/>
      <c r="RVA79" s="5"/>
      <c r="RVB79" s="5"/>
      <c r="RVC79" s="5"/>
      <c r="RVD79" s="5"/>
      <c r="RVE79" s="5"/>
      <c r="RVF79" s="5"/>
      <c r="RVG79" s="5"/>
      <c r="RVH79" s="5"/>
      <c r="RVI79" s="5"/>
      <c r="RVJ79" s="5"/>
      <c r="RVK79" s="5"/>
      <c r="RVL79" s="5"/>
      <c r="RVM79" s="5"/>
      <c r="RVN79" s="5"/>
      <c r="RVO79" s="5"/>
      <c r="RVP79" s="5"/>
      <c r="RVQ79" s="5"/>
      <c r="RVR79" s="5"/>
      <c r="RVS79" s="5"/>
      <c r="RVT79" s="5"/>
      <c r="RVU79" s="5"/>
      <c r="RVV79" s="5"/>
      <c r="RVW79" s="5"/>
      <c r="RVX79" s="5"/>
      <c r="RVY79" s="5"/>
      <c r="RVZ79" s="5"/>
      <c r="RWA79" s="5"/>
      <c r="RWB79" s="5"/>
      <c r="RWC79" s="5"/>
      <c r="RWD79" s="5"/>
      <c r="RWE79" s="5"/>
      <c r="RWF79" s="5"/>
      <c r="RWG79" s="5"/>
      <c r="RWH79" s="5"/>
      <c r="RWI79" s="5"/>
      <c r="RWJ79" s="5"/>
      <c r="RWK79" s="5"/>
      <c r="RWL79" s="5"/>
      <c r="RWM79" s="5"/>
      <c r="RWN79" s="5"/>
      <c r="RWO79" s="5"/>
      <c r="RWP79" s="5"/>
      <c r="RWQ79" s="5"/>
      <c r="RWR79" s="5"/>
      <c r="RWS79" s="5"/>
      <c r="RWT79" s="5"/>
      <c r="RWU79" s="5"/>
      <c r="RWV79" s="5"/>
      <c r="RWW79" s="5"/>
      <c r="RWX79" s="5"/>
      <c r="RWY79" s="5"/>
      <c r="RWZ79" s="5"/>
      <c r="RXA79" s="5"/>
      <c r="RXB79" s="5"/>
      <c r="RXC79" s="5"/>
      <c r="RXD79" s="5"/>
      <c r="RXE79" s="5"/>
      <c r="RXF79" s="5"/>
      <c r="RXG79" s="5"/>
      <c r="RXH79" s="5"/>
      <c r="RXI79" s="5"/>
      <c r="RXJ79" s="5"/>
      <c r="RXK79" s="5"/>
      <c r="RXL79" s="5"/>
      <c r="RXM79" s="5"/>
      <c r="RXN79" s="5"/>
      <c r="RXO79" s="5"/>
      <c r="RXP79" s="5"/>
      <c r="RXQ79" s="5"/>
      <c r="RXR79" s="5"/>
      <c r="RXS79" s="5"/>
      <c r="RXT79" s="5"/>
      <c r="RXU79" s="5"/>
      <c r="RXV79" s="5"/>
      <c r="RXW79" s="5"/>
      <c r="RXX79" s="5"/>
      <c r="RXY79" s="5"/>
      <c r="RXZ79" s="5"/>
      <c r="RYA79" s="5"/>
      <c r="RYB79" s="5"/>
      <c r="RYC79" s="5"/>
      <c r="RYD79" s="5"/>
      <c r="RYE79" s="5"/>
      <c r="RYF79" s="5"/>
      <c r="RYG79" s="5"/>
      <c r="RYH79" s="5"/>
      <c r="RYI79" s="5"/>
      <c r="RYJ79" s="5"/>
      <c r="RYK79" s="5"/>
      <c r="RYL79" s="5"/>
      <c r="RYM79" s="5"/>
      <c r="RYN79" s="5"/>
      <c r="RYO79" s="5"/>
      <c r="RYP79" s="5"/>
      <c r="RYQ79" s="5"/>
      <c r="RYR79" s="5"/>
      <c r="RYS79" s="5"/>
      <c r="RYT79" s="5"/>
      <c r="RYU79" s="5"/>
      <c r="RYV79" s="5"/>
      <c r="RYW79" s="5"/>
      <c r="RYX79" s="5"/>
      <c r="RYY79" s="5"/>
      <c r="RYZ79" s="5"/>
      <c r="RZA79" s="5"/>
      <c r="RZB79" s="5"/>
      <c r="RZC79" s="5"/>
      <c r="RZD79" s="5"/>
      <c r="RZE79" s="5"/>
      <c r="RZF79" s="5"/>
      <c r="RZG79" s="5"/>
      <c r="RZH79" s="5"/>
      <c r="RZI79" s="5"/>
      <c r="RZJ79" s="5"/>
      <c r="RZK79" s="5"/>
      <c r="RZL79" s="5"/>
      <c r="RZM79" s="5"/>
      <c r="RZN79" s="5"/>
      <c r="RZO79" s="5"/>
      <c r="RZP79" s="5"/>
      <c r="RZQ79" s="5"/>
      <c r="RZR79" s="5"/>
      <c r="RZS79" s="5"/>
      <c r="RZT79" s="5"/>
      <c r="RZU79" s="5"/>
      <c r="RZV79" s="5"/>
      <c r="RZW79" s="5"/>
      <c r="RZX79" s="5"/>
      <c r="RZY79" s="5"/>
      <c r="RZZ79" s="5"/>
      <c r="SAA79" s="5"/>
      <c r="SAB79" s="5"/>
      <c r="SAC79" s="5"/>
      <c r="SAD79" s="5"/>
      <c r="SAE79" s="5"/>
      <c r="SAF79" s="5"/>
      <c r="SAG79" s="5"/>
      <c r="SAH79" s="5"/>
      <c r="SAI79" s="5"/>
      <c r="SAJ79" s="5"/>
      <c r="SAK79" s="5"/>
      <c r="SAL79" s="5"/>
      <c r="SAM79" s="5"/>
      <c r="SAN79" s="5"/>
      <c r="SAO79" s="5"/>
      <c r="SAP79" s="5"/>
      <c r="SAQ79" s="5"/>
      <c r="SAR79" s="5"/>
      <c r="SAS79" s="5"/>
      <c r="SAT79" s="5"/>
      <c r="SAU79" s="5"/>
      <c r="SAV79" s="5"/>
      <c r="SAW79" s="5"/>
      <c r="SAX79" s="5"/>
      <c r="SAY79" s="5"/>
      <c r="SAZ79" s="5"/>
      <c r="SBA79" s="5"/>
      <c r="SBB79" s="5"/>
      <c r="SBC79" s="5"/>
      <c r="SBD79" s="5"/>
      <c r="SBE79" s="5"/>
      <c r="SBF79" s="5"/>
      <c r="SBG79" s="5"/>
      <c r="SBH79" s="5"/>
      <c r="SBI79" s="5"/>
      <c r="SBJ79" s="5"/>
      <c r="SBK79" s="5"/>
      <c r="SBL79" s="5"/>
      <c r="SBM79" s="5"/>
      <c r="SBN79" s="5"/>
      <c r="SBO79" s="5"/>
      <c r="SBP79" s="5"/>
      <c r="SBQ79" s="5"/>
      <c r="SBR79" s="5"/>
      <c r="SBS79" s="5"/>
      <c r="SBT79" s="5"/>
      <c r="SBU79" s="5"/>
      <c r="SBV79" s="5"/>
      <c r="SBW79" s="5"/>
      <c r="SBX79" s="5"/>
      <c r="SBY79" s="5"/>
      <c r="SBZ79" s="5"/>
      <c r="SCA79" s="5"/>
      <c r="SCB79" s="5"/>
      <c r="SCC79" s="5"/>
      <c r="SCD79" s="5"/>
      <c r="SCE79" s="5"/>
      <c r="SCF79" s="5"/>
      <c r="SCG79" s="5"/>
      <c r="SCH79" s="5"/>
      <c r="SCI79" s="5"/>
      <c r="SCJ79" s="5"/>
      <c r="SCK79" s="5"/>
      <c r="SCL79" s="5"/>
      <c r="SCM79" s="5"/>
      <c r="SCN79" s="5"/>
      <c r="SCO79" s="5"/>
      <c r="SCP79" s="5"/>
      <c r="SCQ79" s="5"/>
      <c r="SCR79" s="5"/>
      <c r="SCS79" s="5"/>
      <c r="SCT79" s="5"/>
      <c r="SCU79" s="5"/>
      <c r="SCV79" s="5"/>
      <c r="SCW79" s="5"/>
      <c r="SCX79" s="5"/>
      <c r="SCY79" s="5"/>
      <c r="SCZ79" s="5"/>
      <c r="SDA79" s="5"/>
      <c r="SDB79" s="5"/>
      <c r="SDC79" s="5"/>
      <c r="SDD79" s="5"/>
      <c r="SDE79" s="5"/>
      <c r="SDF79" s="5"/>
      <c r="SDG79" s="5"/>
      <c r="SDH79" s="5"/>
      <c r="SDI79" s="5"/>
      <c r="SDJ79" s="5"/>
      <c r="SDK79" s="5"/>
      <c r="SDL79" s="5"/>
      <c r="SDM79" s="5"/>
      <c r="SDN79" s="5"/>
      <c r="SDO79" s="5"/>
      <c r="SDP79" s="5"/>
      <c r="SDQ79" s="5"/>
      <c r="SDR79" s="5"/>
      <c r="SDS79" s="5"/>
      <c r="SDT79" s="5"/>
      <c r="SDU79" s="5"/>
      <c r="SDV79" s="5"/>
      <c r="SDW79" s="5"/>
      <c r="SDX79" s="5"/>
      <c r="SDY79" s="5"/>
      <c r="SDZ79" s="5"/>
      <c r="SEA79" s="5"/>
      <c r="SEB79" s="5"/>
      <c r="SEC79" s="5"/>
      <c r="SED79" s="5"/>
      <c r="SEE79" s="5"/>
      <c r="SEF79" s="5"/>
      <c r="SEG79" s="5"/>
      <c r="SEH79" s="5"/>
      <c r="SEI79" s="5"/>
      <c r="SEJ79" s="5"/>
      <c r="SEK79" s="5"/>
      <c r="SEL79" s="5"/>
      <c r="SEM79" s="5"/>
      <c r="SEN79" s="5"/>
      <c r="SEO79" s="5"/>
      <c r="SEP79" s="5"/>
      <c r="SEQ79" s="5"/>
      <c r="SER79" s="5"/>
      <c r="SES79" s="5"/>
      <c r="SET79" s="5"/>
      <c r="SEU79" s="5"/>
      <c r="SEV79" s="5"/>
      <c r="SEW79" s="5"/>
      <c r="SEX79" s="5"/>
      <c r="SEY79" s="5"/>
      <c r="SEZ79" s="5"/>
      <c r="SFA79" s="5"/>
      <c r="SFB79" s="5"/>
      <c r="SFC79" s="5"/>
      <c r="SFD79" s="5"/>
      <c r="SFE79" s="5"/>
      <c r="SFF79" s="5"/>
      <c r="SFG79" s="5"/>
      <c r="SFH79" s="5"/>
      <c r="SFI79" s="5"/>
      <c r="SFJ79" s="5"/>
      <c r="SFK79" s="5"/>
      <c r="SFL79" s="5"/>
      <c r="SFM79" s="5"/>
      <c r="SFN79" s="5"/>
      <c r="SFO79" s="5"/>
      <c r="SFP79" s="5"/>
      <c r="SFQ79" s="5"/>
      <c r="SFR79" s="5"/>
      <c r="SFS79" s="5"/>
      <c r="SFT79" s="5"/>
      <c r="SFU79" s="5"/>
      <c r="SFV79" s="5"/>
      <c r="SFW79" s="5"/>
      <c r="SFX79" s="5"/>
      <c r="SFY79" s="5"/>
      <c r="SFZ79" s="5"/>
      <c r="SGA79" s="5"/>
      <c r="SGB79" s="5"/>
      <c r="SGC79" s="5"/>
      <c r="SGD79" s="5"/>
      <c r="SGE79" s="5"/>
      <c r="SGF79" s="5"/>
      <c r="SGG79" s="5"/>
      <c r="SGH79" s="5"/>
      <c r="SGI79" s="5"/>
      <c r="SGJ79" s="5"/>
      <c r="SGK79" s="5"/>
      <c r="SGL79" s="5"/>
      <c r="SGM79" s="5"/>
      <c r="SGN79" s="5"/>
      <c r="SGO79" s="5"/>
      <c r="SGP79" s="5"/>
      <c r="SGQ79" s="5"/>
      <c r="SGR79" s="5"/>
      <c r="SGS79" s="5"/>
      <c r="SGT79" s="5"/>
      <c r="SGU79" s="5"/>
      <c r="SGV79" s="5"/>
      <c r="SGW79" s="5"/>
      <c r="SGX79" s="5"/>
      <c r="SGY79" s="5"/>
      <c r="SGZ79" s="5"/>
      <c r="SHA79" s="5"/>
      <c r="SHB79" s="5"/>
      <c r="SHC79" s="5"/>
      <c r="SHD79" s="5"/>
      <c r="SHE79" s="5"/>
      <c r="SHF79" s="5"/>
      <c r="SHG79" s="5"/>
      <c r="SHH79" s="5"/>
      <c r="SHI79" s="5"/>
      <c r="SHJ79" s="5"/>
      <c r="SHK79" s="5"/>
      <c r="SHL79" s="5"/>
      <c r="SHM79" s="5"/>
      <c r="SHN79" s="5"/>
      <c r="SHO79" s="5"/>
      <c r="SHP79" s="5"/>
      <c r="SHQ79" s="5"/>
      <c r="SHR79" s="5"/>
      <c r="SHS79" s="5"/>
      <c r="SHT79" s="5"/>
      <c r="SHU79" s="5"/>
      <c r="SHV79" s="5"/>
      <c r="SHW79" s="5"/>
      <c r="SHX79" s="5"/>
      <c r="SHY79" s="5"/>
      <c r="SHZ79" s="5"/>
      <c r="SIA79" s="5"/>
      <c r="SIB79" s="5"/>
      <c r="SIC79" s="5"/>
      <c r="SID79" s="5"/>
      <c r="SIE79" s="5"/>
      <c r="SIF79" s="5"/>
      <c r="SIG79" s="5"/>
      <c r="SIH79" s="5"/>
      <c r="SII79" s="5"/>
      <c r="SIJ79" s="5"/>
      <c r="SIK79" s="5"/>
      <c r="SIL79" s="5"/>
      <c r="SIM79" s="5"/>
      <c r="SIN79" s="5"/>
      <c r="SIO79" s="5"/>
      <c r="SIP79" s="5"/>
      <c r="SIQ79" s="5"/>
      <c r="SIR79" s="5"/>
      <c r="SIS79" s="5"/>
      <c r="SIT79" s="5"/>
      <c r="SIU79" s="5"/>
      <c r="SIV79" s="5"/>
      <c r="SIW79" s="5"/>
      <c r="SIX79" s="5"/>
      <c r="SIY79" s="5"/>
      <c r="SIZ79" s="5"/>
      <c r="SJA79" s="5"/>
      <c r="SJB79" s="5"/>
      <c r="SJC79" s="5"/>
      <c r="SJD79" s="5"/>
      <c r="SJE79" s="5"/>
      <c r="SJF79" s="5"/>
      <c r="SJG79" s="5"/>
      <c r="SJH79" s="5"/>
      <c r="SJI79" s="5"/>
      <c r="SJJ79" s="5"/>
      <c r="SJK79" s="5"/>
      <c r="SJL79" s="5"/>
      <c r="SJM79" s="5"/>
      <c r="SJN79" s="5"/>
      <c r="SJO79" s="5"/>
      <c r="SJP79" s="5"/>
      <c r="SJQ79" s="5"/>
      <c r="SJR79" s="5"/>
      <c r="SJS79" s="5"/>
      <c r="SJT79" s="5"/>
      <c r="SJU79" s="5"/>
      <c r="SJV79" s="5"/>
      <c r="SJW79" s="5"/>
      <c r="SJX79" s="5"/>
      <c r="SJY79" s="5"/>
      <c r="SJZ79" s="5"/>
      <c r="SKA79" s="5"/>
      <c r="SKB79" s="5"/>
      <c r="SKC79" s="5"/>
      <c r="SKD79" s="5"/>
      <c r="SKE79" s="5"/>
      <c r="SKF79" s="5"/>
      <c r="SKG79" s="5"/>
      <c r="SKH79" s="5"/>
      <c r="SKI79" s="5"/>
      <c r="SKJ79" s="5"/>
      <c r="SKK79" s="5"/>
      <c r="SKL79" s="5"/>
      <c r="SKM79" s="5"/>
      <c r="SKN79" s="5"/>
      <c r="SKO79" s="5"/>
      <c r="SKP79" s="5"/>
      <c r="SKQ79" s="5"/>
      <c r="SKR79" s="5"/>
      <c r="SKS79" s="5"/>
      <c r="SKT79" s="5"/>
      <c r="SKU79" s="5"/>
      <c r="SKV79" s="5"/>
      <c r="SKW79" s="5"/>
      <c r="SKX79" s="5"/>
      <c r="SKY79" s="5"/>
      <c r="SKZ79" s="5"/>
      <c r="SLA79" s="5"/>
      <c r="SLB79" s="5"/>
      <c r="SLC79" s="5"/>
      <c r="SLD79" s="5"/>
      <c r="SLE79" s="5"/>
      <c r="SLF79" s="5"/>
      <c r="SLG79" s="5"/>
      <c r="SLH79" s="5"/>
      <c r="SLI79" s="5"/>
      <c r="SLJ79" s="5"/>
      <c r="SLK79" s="5"/>
      <c r="SLL79" s="5"/>
      <c r="SLM79" s="5"/>
      <c r="SLN79" s="5"/>
      <c r="SLO79" s="5"/>
      <c r="SLP79" s="5"/>
      <c r="SLQ79" s="5"/>
      <c r="SLR79" s="5"/>
      <c r="SLS79" s="5"/>
      <c r="SLT79" s="5"/>
      <c r="SLU79" s="5"/>
      <c r="SLV79" s="5"/>
      <c r="SLW79" s="5"/>
      <c r="SLX79" s="5"/>
      <c r="SLY79" s="5"/>
      <c r="SLZ79" s="5"/>
      <c r="SMA79" s="5"/>
      <c r="SMB79" s="5"/>
      <c r="SMC79" s="5"/>
      <c r="SMD79" s="5"/>
      <c r="SME79" s="5"/>
      <c r="SMF79" s="5"/>
      <c r="SMG79" s="5"/>
      <c r="SMH79" s="5"/>
      <c r="SMI79" s="5"/>
      <c r="SMJ79" s="5"/>
      <c r="SMK79" s="5"/>
      <c r="SML79" s="5"/>
      <c r="SMM79" s="5"/>
      <c r="SMN79" s="5"/>
      <c r="SMO79" s="5"/>
      <c r="SMP79" s="5"/>
      <c r="SMQ79" s="5"/>
      <c r="SMR79" s="5"/>
      <c r="SMS79" s="5"/>
      <c r="SMT79" s="5"/>
      <c r="SMU79" s="5"/>
      <c r="SMV79" s="5"/>
      <c r="SMW79" s="5"/>
      <c r="SMX79" s="5"/>
      <c r="SMY79" s="5"/>
      <c r="SMZ79" s="5"/>
      <c r="SNA79" s="5"/>
      <c r="SNB79" s="5"/>
      <c r="SNC79" s="5"/>
      <c r="SND79" s="5"/>
      <c r="SNE79" s="5"/>
      <c r="SNF79" s="5"/>
      <c r="SNG79" s="5"/>
      <c r="SNH79" s="5"/>
      <c r="SNI79" s="5"/>
      <c r="SNJ79" s="5"/>
      <c r="SNK79" s="5"/>
      <c r="SNL79" s="5"/>
      <c r="SNM79" s="5"/>
      <c r="SNN79" s="5"/>
      <c r="SNO79" s="5"/>
      <c r="SNP79" s="5"/>
      <c r="SNQ79" s="5"/>
      <c r="SNR79" s="5"/>
      <c r="SNS79" s="5"/>
      <c r="SNT79" s="5"/>
      <c r="SNU79" s="5"/>
      <c r="SNV79" s="5"/>
      <c r="SNW79" s="5"/>
      <c r="SNX79" s="5"/>
      <c r="SNY79" s="5"/>
      <c r="SNZ79" s="5"/>
      <c r="SOA79" s="5"/>
      <c r="SOB79" s="5"/>
      <c r="SOC79" s="5"/>
      <c r="SOD79" s="5"/>
      <c r="SOE79" s="5"/>
      <c r="SOF79" s="5"/>
      <c r="SOG79" s="5"/>
      <c r="SOH79" s="5"/>
      <c r="SOI79" s="5"/>
      <c r="SOJ79" s="5"/>
      <c r="SOK79" s="5"/>
      <c r="SOL79" s="5"/>
      <c r="SOM79" s="5"/>
      <c r="SON79" s="5"/>
      <c r="SOO79" s="5"/>
      <c r="SOP79" s="5"/>
      <c r="SOQ79" s="5"/>
      <c r="SOR79" s="5"/>
      <c r="SOS79" s="5"/>
      <c r="SOT79" s="5"/>
      <c r="SOU79" s="5"/>
      <c r="SOV79" s="5"/>
      <c r="SOW79" s="5"/>
      <c r="SOX79" s="5"/>
      <c r="SOY79" s="5"/>
      <c r="SOZ79" s="5"/>
      <c r="SPA79" s="5"/>
      <c r="SPB79" s="5"/>
      <c r="SPC79" s="5"/>
      <c r="SPD79" s="5"/>
      <c r="SPE79" s="5"/>
      <c r="SPF79" s="5"/>
      <c r="SPG79" s="5"/>
      <c r="SPH79" s="5"/>
      <c r="SPI79" s="5"/>
      <c r="SPJ79" s="5"/>
      <c r="SPK79" s="5"/>
      <c r="SPL79" s="5"/>
      <c r="SPM79" s="5"/>
      <c r="SPN79" s="5"/>
      <c r="SPO79" s="5"/>
      <c r="SPP79" s="5"/>
      <c r="SPQ79" s="5"/>
      <c r="SPR79" s="5"/>
      <c r="SPS79" s="5"/>
      <c r="SPT79" s="5"/>
      <c r="SPU79" s="5"/>
      <c r="SPV79" s="5"/>
      <c r="SPW79" s="5"/>
      <c r="SPX79" s="5"/>
      <c r="SPY79" s="5"/>
      <c r="SPZ79" s="5"/>
      <c r="SQA79" s="5"/>
      <c r="SQB79" s="5"/>
      <c r="SQC79" s="5"/>
      <c r="SQD79" s="5"/>
      <c r="SQE79" s="5"/>
      <c r="SQF79" s="5"/>
      <c r="SQG79" s="5"/>
      <c r="SQH79" s="5"/>
      <c r="SQI79" s="5"/>
      <c r="SQJ79" s="5"/>
      <c r="SQK79" s="5"/>
      <c r="SQL79" s="5"/>
      <c r="SQM79" s="5"/>
      <c r="SQN79" s="5"/>
      <c r="SQO79" s="5"/>
      <c r="SQP79" s="5"/>
      <c r="SQQ79" s="5"/>
      <c r="SQR79" s="5"/>
      <c r="SQS79" s="5"/>
      <c r="SQT79" s="5"/>
      <c r="SQU79" s="5"/>
      <c r="SQV79" s="5"/>
      <c r="SQW79" s="5"/>
      <c r="SQX79" s="5"/>
      <c r="SQY79" s="5"/>
      <c r="SQZ79" s="5"/>
      <c r="SRA79" s="5"/>
      <c r="SRB79" s="5"/>
      <c r="SRC79" s="5"/>
      <c r="SRD79" s="5"/>
      <c r="SRE79" s="5"/>
      <c r="SRF79" s="5"/>
      <c r="SRG79" s="5"/>
      <c r="SRH79" s="5"/>
      <c r="SRI79" s="5"/>
      <c r="SRJ79" s="5"/>
      <c r="SRK79" s="5"/>
      <c r="SRL79" s="5"/>
      <c r="SRM79" s="5"/>
      <c r="SRN79" s="5"/>
      <c r="SRO79" s="5"/>
      <c r="SRP79" s="5"/>
      <c r="SRQ79" s="5"/>
      <c r="SRR79" s="5"/>
      <c r="SRS79" s="5"/>
      <c r="SRT79" s="5"/>
      <c r="SRU79" s="5"/>
      <c r="SRV79" s="5"/>
      <c r="SRW79" s="5"/>
      <c r="SRX79" s="5"/>
      <c r="SRY79" s="5"/>
      <c r="SRZ79" s="5"/>
      <c r="SSA79" s="5"/>
      <c r="SSB79" s="5"/>
      <c r="SSC79" s="5"/>
      <c r="SSD79" s="5"/>
      <c r="SSE79" s="5"/>
      <c r="SSF79" s="5"/>
      <c r="SSG79" s="5"/>
      <c r="SSH79" s="5"/>
      <c r="SSI79" s="5"/>
      <c r="SSJ79" s="5"/>
      <c r="SSK79" s="5"/>
      <c r="SSL79" s="5"/>
      <c r="SSM79" s="5"/>
      <c r="SSN79" s="5"/>
      <c r="SSO79" s="5"/>
      <c r="SSP79" s="5"/>
      <c r="SSQ79" s="5"/>
      <c r="SSR79" s="5"/>
      <c r="SSS79" s="5"/>
      <c r="SST79" s="5"/>
      <c r="SSU79" s="5"/>
      <c r="SSV79" s="5"/>
      <c r="SSW79" s="5"/>
      <c r="SSX79" s="5"/>
      <c r="SSY79" s="5"/>
      <c r="SSZ79" s="5"/>
      <c r="STA79" s="5"/>
      <c r="STB79" s="5"/>
      <c r="STC79" s="5"/>
      <c r="STD79" s="5"/>
      <c r="STE79" s="5"/>
      <c r="STF79" s="5"/>
      <c r="STG79" s="5"/>
      <c r="STH79" s="5"/>
      <c r="STI79" s="5"/>
      <c r="STJ79" s="5"/>
      <c r="STK79" s="5"/>
      <c r="STL79" s="5"/>
      <c r="STM79" s="5"/>
      <c r="STN79" s="5"/>
      <c r="STO79" s="5"/>
      <c r="STP79" s="5"/>
      <c r="STQ79" s="5"/>
      <c r="STR79" s="5"/>
      <c r="STS79" s="5"/>
      <c r="STT79" s="5"/>
      <c r="STU79" s="5"/>
      <c r="STV79" s="5"/>
      <c r="STW79" s="5"/>
      <c r="STX79" s="5"/>
      <c r="STY79" s="5"/>
      <c r="STZ79" s="5"/>
      <c r="SUA79" s="5"/>
      <c r="SUB79" s="5"/>
      <c r="SUC79" s="5"/>
      <c r="SUD79" s="5"/>
      <c r="SUE79" s="5"/>
      <c r="SUF79" s="5"/>
      <c r="SUG79" s="5"/>
      <c r="SUH79" s="5"/>
      <c r="SUI79" s="5"/>
      <c r="SUJ79" s="5"/>
      <c r="SUK79" s="5"/>
      <c r="SUL79" s="5"/>
      <c r="SUM79" s="5"/>
      <c r="SUN79" s="5"/>
      <c r="SUO79" s="5"/>
      <c r="SUP79" s="5"/>
      <c r="SUQ79" s="5"/>
      <c r="SUR79" s="5"/>
      <c r="SUS79" s="5"/>
      <c r="SUT79" s="5"/>
      <c r="SUU79" s="5"/>
      <c r="SUV79" s="5"/>
      <c r="SUW79" s="5"/>
      <c r="SUX79" s="5"/>
      <c r="SUY79" s="5"/>
      <c r="SUZ79" s="5"/>
      <c r="SVA79" s="5"/>
      <c r="SVB79" s="5"/>
      <c r="SVC79" s="5"/>
      <c r="SVD79" s="5"/>
      <c r="SVE79" s="5"/>
      <c r="SVF79" s="5"/>
      <c r="SVG79" s="5"/>
      <c r="SVH79" s="5"/>
      <c r="SVI79" s="5"/>
      <c r="SVJ79" s="5"/>
      <c r="SVK79" s="5"/>
      <c r="SVL79" s="5"/>
      <c r="SVM79" s="5"/>
      <c r="SVN79" s="5"/>
      <c r="SVO79" s="5"/>
      <c r="SVP79" s="5"/>
      <c r="SVQ79" s="5"/>
      <c r="SVR79" s="5"/>
      <c r="SVS79" s="5"/>
      <c r="SVT79" s="5"/>
      <c r="SVU79" s="5"/>
      <c r="SVV79" s="5"/>
      <c r="SVW79" s="5"/>
      <c r="SVX79" s="5"/>
      <c r="SVY79" s="5"/>
      <c r="SVZ79" s="5"/>
      <c r="SWA79" s="5"/>
      <c r="SWB79" s="5"/>
      <c r="SWC79" s="5"/>
      <c r="SWD79" s="5"/>
      <c r="SWE79" s="5"/>
      <c r="SWF79" s="5"/>
      <c r="SWG79" s="5"/>
      <c r="SWH79" s="5"/>
      <c r="SWI79" s="5"/>
      <c r="SWJ79" s="5"/>
      <c r="SWK79" s="5"/>
      <c r="SWL79" s="5"/>
      <c r="SWM79" s="5"/>
      <c r="SWN79" s="5"/>
      <c r="SWO79" s="5"/>
      <c r="SWP79" s="5"/>
      <c r="SWQ79" s="5"/>
      <c r="SWR79" s="5"/>
      <c r="SWS79" s="5"/>
      <c r="SWT79" s="5"/>
      <c r="SWU79" s="5"/>
      <c r="SWV79" s="5"/>
      <c r="SWW79" s="5"/>
      <c r="SWX79" s="5"/>
      <c r="SWY79" s="5"/>
      <c r="SWZ79" s="5"/>
      <c r="SXA79" s="5"/>
      <c r="SXB79" s="5"/>
      <c r="SXC79" s="5"/>
      <c r="SXD79" s="5"/>
      <c r="SXE79" s="5"/>
      <c r="SXF79" s="5"/>
      <c r="SXG79" s="5"/>
      <c r="SXH79" s="5"/>
      <c r="SXI79" s="5"/>
      <c r="SXJ79" s="5"/>
      <c r="SXK79" s="5"/>
      <c r="SXL79" s="5"/>
      <c r="SXM79" s="5"/>
      <c r="SXN79" s="5"/>
      <c r="SXO79" s="5"/>
      <c r="SXP79" s="5"/>
      <c r="SXQ79" s="5"/>
      <c r="SXR79" s="5"/>
      <c r="SXS79" s="5"/>
      <c r="SXT79" s="5"/>
      <c r="SXU79" s="5"/>
      <c r="SXV79" s="5"/>
      <c r="SXW79" s="5"/>
      <c r="SXX79" s="5"/>
      <c r="SXY79" s="5"/>
      <c r="SXZ79" s="5"/>
      <c r="SYA79" s="5"/>
      <c r="SYB79" s="5"/>
      <c r="SYC79" s="5"/>
      <c r="SYD79" s="5"/>
      <c r="SYE79" s="5"/>
      <c r="SYF79" s="5"/>
      <c r="SYG79" s="5"/>
      <c r="SYH79" s="5"/>
      <c r="SYI79" s="5"/>
      <c r="SYJ79" s="5"/>
      <c r="SYK79" s="5"/>
      <c r="SYL79" s="5"/>
      <c r="SYM79" s="5"/>
      <c r="SYN79" s="5"/>
      <c r="SYO79" s="5"/>
      <c r="SYP79" s="5"/>
      <c r="SYQ79" s="5"/>
      <c r="SYR79" s="5"/>
      <c r="SYS79" s="5"/>
      <c r="SYT79" s="5"/>
      <c r="SYU79" s="5"/>
      <c r="SYV79" s="5"/>
      <c r="SYW79" s="5"/>
      <c r="SYX79" s="5"/>
      <c r="SYY79" s="5"/>
      <c r="SYZ79" s="5"/>
      <c r="SZA79" s="5"/>
      <c r="SZB79" s="5"/>
      <c r="SZC79" s="5"/>
      <c r="SZD79" s="5"/>
      <c r="SZE79" s="5"/>
      <c r="SZF79" s="5"/>
      <c r="SZG79" s="5"/>
      <c r="SZH79" s="5"/>
      <c r="SZI79" s="5"/>
      <c r="SZJ79" s="5"/>
      <c r="SZK79" s="5"/>
      <c r="SZL79" s="5"/>
      <c r="SZM79" s="5"/>
      <c r="SZN79" s="5"/>
      <c r="SZO79" s="5"/>
      <c r="SZP79" s="5"/>
      <c r="SZQ79" s="5"/>
      <c r="SZR79" s="5"/>
      <c r="SZS79" s="5"/>
      <c r="SZT79" s="5"/>
      <c r="SZU79" s="5"/>
      <c r="SZV79" s="5"/>
      <c r="SZW79" s="5"/>
      <c r="SZX79" s="5"/>
      <c r="SZY79" s="5"/>
      <c r="SZZ79" s="5"/>
      <c r="TAA79" s="5"/>
      <c r="TAB79" s="5"/>
      <c r="TAC79" s="5"/>
      <c r="TAD79" s="5"/>
      <c r="TAE79" s="5"/>
      <c r="TAF79" s="5"/>
      <c r="TAG79" s="5"/>
      <c r="TAH79" s="5"/>
      <c r="TAI79" s="5"/>
      <c r="TAJ79" s="5"/>
      <c r="TAK79" s="5"/>
      <c r="TAL79" s="5"/>
      <c r="TAM79" s="5"/>
      <c r="TAN79" s="5"/>
      <c r="TAO79" s="5"/>
      <c r="TAP79" s="5"/>
      <c r="TAQ79" s="5"/>
      <c r="TAR79" s="5"/>
      <c r="TAS79" s="5"/>
      <c r="TAT79" s="5"/>
      <c r="TAU79" s="5"/>
      <c r="TAV79" s="5"/>
      <c r="TAW79" s="5"/>
      <c r="TAX79" s="5"/>
      <c r="TAY79" s="5"/>
      <c r="TAZ79" s="5"/>
      <c r="TBA79" s="5"/>
      <c r="TBB79" s="5"/>
      <c r="TBC79" s="5"/>
      <c r="TBD79" s="5"/>
      <c r="TBE79" s="5"/>
      <c r="TBF79" s="5"/>
      <c r="TBG79" s="5"/>
      <c r="TBH79" s="5"/>
      <c r="TBI79" s="5"/>
      <c r="TBJ79" s="5"/>
      <c r="TBK79" s="5"/>
      <c r="TBL79" s="5"/>
      <c r="TBM79" s="5"/>
      <c r="TBN79" s="5"/>
      <c r="TBO79" s="5"/>
      <c r="TBP79" s="5"/>
      <c r="TBQ79" s="5"/>
      <c r="TBR79" s="5"/>
      <c r="TBS79" s="5"/>
      <c r="TBT79" s="5"/>
      <c r="TBU79" s="5"/>
      <c r="TBV79" s="5"/>
      <c r="TBW79" s="5"/>
      <c r="TBX79" s="5"/>
      <c r="TBY79" s="5"/>
      <c r="TBZ79" s="5"/>
      <c r="TCA79" s="5"/>
      <c r="TCB79" s="5"/>
      <c r="TCC79" s="5"/>
      <c r="TCD79" s="5"/>
      <c r="TCE79" s="5"/>
      <c r="TCF79" s="5"/>
      <c r="TCG79" s="5"/>
      <c r="TCH79" s="5"/>
      <c r="TCI79" s="5"/>
      <c r="TCJ79" s="5"/>
      <c r="TCK79" s="5"/>
      <c r="TCL79" s="5"/>
      <c r="TCM79" s="5"/>
      <c r="TCN79" s="5"/>
      <c r="TCO79" s="5"/>
      <c r="TCP79" s="5"/>
      <c r="TCQ79" s="5"/>
      <c r="TCR79" s="5"/>
      <c r="TCS79" s="5"/>
      <c r="TCT79" s="5"/>
      <c r="TCU79" s="5"/>
      <c r="TCV79" s="5"/>
      <c r="TCW79" s="5"/>
      <c r="TCX79" s="5"/>
      <c r="TCY79" s="5"/>
      <c r="TCZ79" s="5"/>
      <c r="TDA79" s="5"/>
      <c r="TDB79" s="5"/>
      <c r="TDC79" s="5"/>
      <c r="TDD79" s="5"/>
      <c r="TDE79" s="5"/>
      <c r="TDF79" s="5"/>
      <c r="TDG79" s="5"/>
      <c r="TDH79" s="5"/>
      <c r="TDI79" s="5"/>
      <c r="TDJ79" s="5"/>
      <c r="TDK79" s="5"/>
      <c r="TDL79" s="5"/>
      <c r="TDM79" s="5"/>
      <c r="TDN79" s="5"/>
      <c r="TDO79" s="5"/>
      <c r="TDP79" s="5"/>
      <c r="TDQ79" s="5"/>
      <c r="TDR79" s="5"/>
      <c r="TDS79" s="5"/>
      <c r="TDT79" s="5"/>
      <c r="TDU79" s="5"/>
      <c r="TDV79" s="5"/>
      <c r="TDW79" s="5"/>
      <c r="TDX79" s="5"/>
      <c r="TDY79" s="5"/>
      <c r="TDZ79" s="5"/>
      <c r="TEA79" s="5"/>
      <c r="TEB79" s="5"/>
      <c r="TEC79" s="5"/>
      <c r="TED79" s="5"/>
      <c r="TEE79" s="5"/>
      <c r="TEF79" s="5"/>
      <c r="TEG79" s="5"/>
      <c r="TEH79" s="5"/>
      <c r="TEI79" s="5"/>
      <c r="TEJ79" s="5"/>
      <c r="TEK79" s="5"/>
      <c r="TEL79" s="5"/>
      <c r="TEM79" s="5"/>
      <c r="TEN79" s="5"/>
      <c r="TEO79" s="5"/>
      <c r="TEP79" s="5"/>
      <c r="TEQ79" s="5"/>
      <c r="TER79" s="5"/>
      <c r="TES79" s="5"/>
      <c r="TET79" s="5"/>
      <c r="TEU79" s="5"/>
      <c r="TEV79" s="5"/>
      <c r="TEW79" s="5"/>
      <c r="TEX79" s="5"/>
      <c r="TEY79" s="5"/>
      <c r="TEZ79" s="5"/>
      <c r="TFA79" s="5"/>
      <c r="TFB79" s="5"/>
      <c r="TFC79" s="5"/>
      <c r="TFD79" s="5"/>
      <c r="TFE79" s="5"/>
      <c r="TFF79" s="5"/>
      <c r="TFG79" s="5"/>
      <c r="TFH79" s="5"/>
      <c r="TFI79" s="5"/>
      <c r="TFJ79" s="5"/>
      <c r="TFK79" s="5"/>
      <c r="TFL79" s="5"/>
      <c r="TFM79" s="5"/>
      <c r="TFN79" s="5"/>
      <c r="TFO79" s="5"/>
      <c r="TFP79" s="5"/>
      <c r="TFQ79" s="5"/>
      <c r="TFR79" s="5"/>
      <c r="TFS79" s="5"/>
      <c r="TFT79" s="5"/>
      <c r="TFU79" s="5"/>
      <c r="TFV79" s="5"/>
      <c r="TFW79" s="5"/>
      <c r="TFX79" s="5"/>
      <c r="TFY79" s="5"/>
      <c r="TFZ79" s="5"/>
      <c r="TGA79" s="5"/>
      <c r="TGB79" s="5"/>
      <c r="TGC79" s="5"/>
      <c r="TGD79" s="5"/>
      <c r="TGE79" s="5"/>
      <c r="TGF79" s="5"/>
      <c r="TGG79" s="5"/>
      <c r="TGH79" s="5"/>
      <c r="TGI79" s="5"/>
      <c r="TGJ79" s="5"/>
      <c r="TGK79" s="5"/>
      <c r="TGL79" s="5"/>
      <c r="TGM79" s="5"/>
      <c r="TGN79" s="5"/>
      <c r="TGO79" s="5"/>
      <c r="TGP79" s="5"/>
      <c r="TGQ79" s="5"/>
      <c r="TGR79" s="5"/>
      <c r="TGS79" s="5"/>
      <c r="TGT79" s="5"/>
      <c r="TGU79" s="5"/>
      <c r="TGV79" s="5"/>
      <c r="TGW79" s="5"/>
      <c r="TGX79" s="5"/>
      <c r="TGY79" s="5"/>
      <c r="TGZ79" s="5"/>
      <c r="THA79" s="5"/>
      <c r="THB79" s="5"/>
      <c r="THC79" s="5"/>
      <c r="THD79" s="5"/>
      <c r="THE79" s="5"/>
      <c r="THF79" s="5"/>
      <c r="THG79" s="5"/>
      <c r="THH79" s="5"/>
      <c r="THI79" s="5"/>
      <c r="THJ79" s="5"/>
      <c r="THK79" s="5"/>
      <c r="THL79" s="5"/>
      <c r="THM79" s="5"/>
      <c r="THN79" s="5"/>
      <c r="THO79" s="5"/>
      <c r="THP79" s="5"/>
      <c r="THQ79" s="5"/>
      <c r="THR79" s="5"/>
      <c r="THS79" s="5"/>
      <c r="THT79" s="5"/>
      <c r="THU79" s="5"/>
      <c r="THV79" s="5"/>
      <c r="THW79" s="5"/>
      <c r="THX79" s="5"/>
      <c r="THY79" s="5"/>
      <c r="THZ79" s="5"/>
      <c r="TIA79" s="5"/>
      <c r="TIB79" s="5"/>
      <c r="TIC79" s="5"/>
      <c r="TID79" s="5"/>
      <c r="TIE79" s="5"/>
      <c r="TIF79" s="5"/>
      <c r="TIG79" s="5"/>
      <c r="TIH79" s="5"/>
      <c r="TII79" s="5"/>
      <c r="TIJ79" s="5"/>
      <c r="TIK79" s="5"/>
      <c r="TIL79" s="5"/>
      <c r="TIM79" s="5"/>
      <c r="TIN79" s="5"/>
      <c r="TIO79" s="5"/>
      <c r="TIP79" s="5"/>
      <c r="TIQ79" s="5"/>
      <c r="TIR79" s="5"/>
      <c r="TIS79" s="5"/>
      <c r="TIT79" s="5"/>
      <c r="TIU79" s="5"/>
      <c r="TIV79" s="5"/>
      <c r="TIW79" s="5"/>
      <c r="TIX79" s="5"/>
      <c r="TIY79" s="5"/>
      <c r="TIZ79" s="5"/>
      <c r="TJA79" s="5"/>
      <c r="TJB79" s="5"/>
      <c r="TJC79" s="5"/>
      <c r="TJD79" s="5"/>
      <c r="TJE79" s="5"/>
      <c r="TJF79" s="5"/>
      <c r="TJG79" s="5"/>
      <c r="TJH79" s="5"/>
      <c r="TJI79" s="5"/>
      <c r="TJJ79" s="5"/>
      <c r="TJK79" s="5"/>
      <c r="TJL79" s="5"/>
      <c r="TJM79" s="5"/>
      <c r="TJN79" s="5"/>
      <c r="TJO79" s="5"/>
      <c r="TJP79" s="5"/>
      <c r="TJQ79" s="5"/>
      <c r="TJR79" s="5"/>
      <c r="TJS79" s="5"/>
      <c r="TJT79" s="5"/>
      <c r="TJU79" s="5"/>
      <c r="TJV79" s="5"/>
      <c r="TJW79" s="5"/>
      <c r="TJX79" s="5"/>
      <c r="TJY79" s="5"/>
      <c r="TJZ79" s="5"/>
      <c r="TKA79" s="5"/>
      <c r="TKB79" s="5"/>
      <c r="TKC79" s="5"/>
      <c r="TKD79" s="5"/>
      <c r="TKE79" s="5"/>
      <c r="TKF79" s="5"/>
      <c r="TKG79" s="5"/>
      <c r="TKH79" s="5"/>
      <c r="TKI79" s="5"/>
      <c r="TKJ79" s="5"/>
      <c r="TKK79" s="5"/>
      <c r="TKL79" s="5"/>
      <c r="TKM79" s="5"/>
      <c r="TKN79" s="5"/>
      <c r="TKO79" s="5"/>
      <c r="TKP79" s="5"/>
      <c r="TKQ79" s="5"/>
      <c r="TKR79" s="5"/>
      <c r="TKS79" s="5"/>
      <c r="TKT79" s="5"/>
      <c r="TKU79" s="5"/>
      <c r="TKV79" s="5"/>
      <c r="TKW79" s="5"/>
      <c r="TKX79" s="5"/>
      <c r="TKY79" s="5"/>
      <c r="TKZ79" s="5"/>
      <c r="TLA79" s="5"/>
      <c r="TLB79" s="5"/>
      <c r="TLC79" s="5"/>
      <c r="TLD79" s="5"/>
      <c r="TLE79" s="5"/>
      <c r="TLF79" s="5"/>
      <c r="TLG79" s="5"/>
      <c r="TLH79" s="5"/>
      <c r="TLI79" s="5"/>
      <c r="TLJ79" s="5"/>
      <c r="TLK79" s="5"/>
      <c r="TLL79" s="5"/>
      <c r="TLM79" s="5"/>
      <c r="TLN79" s="5"/>
      <c r="TLO79" s="5"/>
      <c r="TLP79" s="5"/>
      <c r="TLQ79" s="5"/>
      <c r="TLR79" s="5"/>
      <c r="TLS79" s="5"/>
      <c r="TLT79" s="5"/>
      <c r="TLU79" s="5"/>
      <c r="TLV79" s="5"/>
      <c r="TLW79" s="5"/>
      <c r="TLX79" s="5"/>
      <c r="TLY79" s="5"/>
      <c r="TLZ79" s="5"/>
      <c r="TMA79" s="5"/>
      <c r="TMB79" s="5"/>
      <c r="TMC79" s="5"/>
      <c r="TMD79" s="5"/>
      <c r="TME79" s="5"/>
      <c r="TMF79" s="5"/>
      <c r="TMG79" s="5"/>
      <c r="TMH79" s="5"/>
      <c r="TMI79" s="5"/>
      <c r="TMJ79" s="5"/>
      <c r="TMK79" s="5"/>
      <c r="TML79" s="5"/>
      <c r="TMM79" s="5"/>
      <c r="TMN79" s="5"/>
      <c r="TMO79" s="5"/>
      <c r="TMP79" s="5"/>
      <c r="TMQ79" s="5"/>
      <c r="TMR79" s="5"/>
      <c r="TMS79" s="5"/>
      <c r="TMT79" s="5"/>
      <c r="TMU79" s="5"/>
      <c r="TMV79" s="5"/>
      <c r="TMW79" s="5"/>
      <c r="TMX79" s="5"/>
      <c r="TMY79" s="5"/>
      <c r="TMZ79" s="5"/>
      <c r="TNA79" s="5"/>
      <c r="TNB79" s="5"/>
      <c r="TNC79" s="5"/>
      <c r="TND79" s="5"/>
      <c r="TNE79" s="5"/>
      <c r="TNF79" s="5"/>
      <c r="TNG79" s="5"/>
      <c r="TNH79" s="5"/>
      <c r="TNI79" s="5"/>
      <c r="TNJ79" s="5"/>
      <c r="TNK79" s="5"/>
      <c r="TNL79" s="5"/>
      <c r="TNM79" s="5"/>
      <c r="TNN79" s="5"/>
      <c r="TNO79" s="5"/>
      <c r="TNP79" s="5"/>
      <c r="TNQ79" s="5"/>
      <c r="TNR79" s="5"/>
      <c r="TNS79" s="5"/>
      <c r="TNT79" s="5"/>
      <c r="TNU79" s="5"/>
      <c r="TNV79" s="5"/>
      <c r="TNW79" s="5"/>
      <c r="TNX79" s="5"/>
      <c r="TNY79" s="5"/>
      <c r="TNZ79" s="5"/>
      <c r="TOA79" s="5"/>
      <c r="TOB79" s="5"/>
      <c r="TOC79" s="5"/>
      <c r="TOD79" s="5"/>
      <c r="TOE79" s="5"/>
      <c r="TOF79" s="5"/>
      <c r="TOG79" s="5"/>
      <c r="TOH79" s="5"/>
      <c r="TOI79" s="5"/>
      <c r="TOJ79" s="5"/>
      <c r="TOK79" s="5"/>
      <c r="TOL79" s="5"/>
      <c r="TOM79" s="5"/>
      <c r="TON79" s="5"/>
      <c r="TOO79" s="5"/>
      <c r="TOP79" s="5"/>
      <c r="TOQ79" s="5"/>
      <c r="TOR79" s="5"/>
      <c r="TOS79" s="5"/>
      <c r="TOT79" s="5"/>
      <c r="TOU79" s="5"/>
      <c r="TOV79" s="5"/>
      <c r="TOW79" s="5"/>
      <c r="TOX79" s="5"/>
      <c r="TOY79" s="5"/>
      <c r="TOZ79" s="5"/>
      <c r="TPA79" s="5"/>
      <c r="TPB79" s="5"/>
      <c r="TPC79" s="5"/>
      <c r="TPD79" s="5"/>
      <c r="TPE79" s="5"/>
      <c r="TPF79" s="5"/>
      <c r="TPG79" s="5"/>
      <c r="TPH79" s="5"/>
      <c r="TPI79" s="5"/>
      <c r="TPJ79" s="5"/>
      <c r="TPK79" s="5"/>
      <c r="TPL79" s="5"/>
      <c r="TPM79" s="5"/>
      <c r="TPN79" s="5"/>
      <c r="TPO79" s="5"/>
      <c r="TPP79" s="5"/>
      <c r="TPQ79" s="5"/>
      <c r="TPR79" s="5"/>
      <c r="TPS79" s="5"/>
      <c r="TPT79" s="5"/>
      <c r="TPU79" s="5"/>
      <c r="TPV79" s="5"/>
      <c r="TPW79" s="5"/>
      <c r="TPX79" s="5"/>
      <c r="TPY79" s="5"/>
      <c r="TPZ79" s="5"/>
      <c r="TQA79" s="5"/>
      <c r="TQB79" s="5"/>
      <c r="TQC79" s="5"/>
      <c r="TQD79" s="5"/>
      <c r="TQE79" s="5"/>
      <c r="TQF79" s="5"/>
      <c r="TQG79" s="5"/>
      <c r="TQH79" s="5"/>
      <c r="TQI79" s="5"/>
      <c r="TQJ79" s="5"/>
      <c r="TQK79" s="5"/>
      <c r="TQL79" s="5"/>
      <c r="TQM79" s="5"/>
      <c r="TQN79" s="5"/>
      <c r="TQO79" s="5"/>
      <c r="TQP79" s="5"/>
      <c r="TQQ79" s="5"/>
      <c r="TQR79" s="5"/>
      <c r="TQS79" s="5"/>
      <c r="TQT79" s="5"/>
      <c r="TQU79" s="5"/>
      <c r="TQV79" s="5"/>
      <c r="TQW79" s="5"/>
      <c r="TQX79" s="5"/>
      <c r="TQY79" s="5"/>
      <c r="TQZ79" s="5"/>
      <c r="TRA79" s="5"/>
      <c r="TRB79" s="5"/>
      <c r="TRC79" s="5"/>
      <c r="TRD79" s="5"/>
      <c r="TRE79" s="5"/>
      <c r="TRF79" s="5"/>
      <c r="TRG79" s="5"/>
      <c r="TRH79" s="5"/>
      <c r="TRI79" s="5"/>
      <c r="TRJ79" s="5"/>
      <c r="TRK79" s="5"/>
      <c r="TRL79" s="5"/>
      <c r="TRM79" s="5"/>
      <c r="TRN79" s="5"/>
      <c r="TRO79" s="5"/>
      <c r="TRP79" s="5"/>
      <c r="TRQ79" s="5"/>
      <c r="TRR79" s="5"/>
      <c r="TRS79" s="5"/>
      <c r="TRT79" s="5"/>
      <c r="TRU79" s="5"/>
      <c r="TRV79" s="5"/>
      <c r="TRW79" s="5"/>
      <c r="TRX79" s="5"/>
      <c r="TRY79" s="5"/>
      <c r="TRZ79" s="5"/>
      <c r="TSA79" s="5"/>
      <c r="TSB79" s="5"/>
      <c r="TSC79" s="5"/>
      <c r="TSD79" s="5"/>
      <c r="TSE79" s="5"/>
      <c r="TSF79" s="5"/>
      <c r="TSG79" s="5"/>
      <c r="TSH79" s="5"/>
      <c r="TSI79" s="5"/>
      <c r="TSJ79" s="5"/>
      <c r="TSK79" s="5"/>
      <c r="TSL79" s="5"/>
      <c r="TSM79" s="5"/>
      <c r="TSN79" s="5"/>
      <c r="TSO79" s="5"/>
      <c r="TSP79" s="5"/>
      <c r="TSQ79" s="5"/>
      <c r="TSR79" s="5"/>
      <c r="TSS79" s="5"/>
      <c r="TST79" s="5"/>
      <c r="TSU79" s="5"/>
      <c r="TSV79" s="5"/>
      <c r="TSW79" s="5"/>
      <c r="TSX79" s="5"/>
      <c r="TSY79" s="5"/>
      <c r="TSZ79" s="5"/>
      <c r="TTA79" s="5"/>
      <c r="TTB79" s="5"/>
      <c r="TTC79" s="5"/>
      <c r="TTD79" s="5"/>
      <c r="TTE79" s="5"/>
      <c r="TTF79" s="5"/>
      <c r="TTG79" s="5"/>
      <c r="TTH79" s="5"/>
      <c r="TTI79" s="5"/>
      <c r="TTJ79" s="5"/>
      <c r="TTK79" s="5"/>
      <c r="TTL79" s="5"/>
      <c r="TTM79" s="5"/>
      <c r="TTN79" s="5"/>
      <c r="TTO79" s="5"/>
      <c r="TTP79" s="5"/>
      <c r="TTQ79" s="5"/>
      <c r="TTR79" s="5"/>
      <c r="TTS79" s="5"/>
      <c r="TTT79" s="5"/>
      <c r="TTU79" s="5"/>
      <c r="TTV79" s="5"/>
      <c r="TTW79" s="5"/>
      <c r="TTX79" s="5"/>
      <c r="TTY79" s="5"/>
      <c r="TTZ79" s="5"/>
      <c r="TUA79" s="5"/>
      <c r="TUB79" s="5"/>
      <c r="TUC79" s="5"/>
      <c r="TUD79" s="5"/>
      <c r="TUE79" s="5"/>
      <c r="TUF79" s="5"/>
      <c r="TUG79" s="5"/>
      <c r="TUH79" s="5"/>
      <c r="TUI79" s="5"/>
      <c r="TUJ79" s="5"/>
      <c r="TUK79" s="5"/>
      <c r="TUL79" s="5"/>
      <c r="TUM79" s="5"/>
      <c r="TUN79" s="5"/>
      <c r="TUO79" s="5"/>
      <c r="TUP79" s="5"/>
      <c r="TUQ79" s="5"/>
      <c r="TUR79" s="5"/>
      <c r="TUS79" s="5"/>
      <c r="TUT79" s="5"/>
      <c r="TUU79" s="5"/>
      <c r="TUV79" s="5"/>
      <c r="TUW79" s="5"/>
      <c r="TUX79" s="5"/>
      <c r="TUY79" s="5"/>
      <c r="TUZ79" s="5"/>
      <c r="TVA79" s="5"/>
      <c r="TVB79" s="5"/>
      <c r="TVC79" s="5"/>
      <c r="TVD79" s="5"/>
      <c r="TVE79" s="5"/>
      <c r="TVF79" s="5"/>
      <c r="TVG79" s="5"/>
      <c r="TVH79" s="5"/>
      <c r="TVI79" s="5"/>
      <c r="TVJ79" s="5"/>
      <c r="TVK79" s="5"/>
      <c r="TVL79" s="5"/>
      <c r="TVM79" s="5"/>
      <c r="TVN79" s="5"/>
      <c r="TVO79" s="5"/>
      <c r="TVP79" s="5"/>
      <c r="TVQ79" s="5"/>
      <c r="TVR79" s="5"/>
      <c r="TVS79" s="5"/>
      <c r="TVT79" s="5"/>
      <c r="TVU79" s="5"/>
      <c r="TVV79" s="5"/>
      <c r="TVW79" s="5"/>
      <c r="TVX79" s="5"/>
      <c r="TVY79" s="5"/>
      <c r="TVZ79" s="5"/>
      <c r="TWA79" s="5"/>
      <c r="TWB79" s="5"/>
      <c r="TWC79" s="5"/>
      <c r="TWD79" s="5"/>
      <c r="TWE79" s="5"/>
      <c r="TWF79" s="5"/>
      <c r="TWG79" s="5"/>
      <c r="TWH79" s="5"/>
      <c r="TWI79" s="5"/>
      <c r="TWJ79" s="5"/>
      <c r="TWK79" s="5"/>
      <c r="TWL79" s="5"/>
      <c r="TWM79" s="5"/>
      <c r="TWN79" s="5"/>
      <c r="TWO79" s="5"/>
      <c r="TWP79" s="5"/>
      <c r="TWQ79" s="5"/>
      <c r="TWR79" s="5"/>
      <c r="TWS79" s="5"/>
      <c r="TWT79" s="5"/>
      <c r="TWU79" s="5"/>
      <c r="TWV79" s="5"/>
      <c r="TWW79" s="5"/>
      <c r="TWX79" s="5"/>
      <c r="TWY79" s="5"/>
      <c r="TWZ79" s="5"/>
      <c r="TXA79" s="5"/>
      <c r="TXB79" s="5"/>
      <c r="TXC79" s="5"/>
      <c r="TXD79" s="5"/>
      <c r="TXE79" s="5"/>
      <c r="TXF79" s="5"/>
      <c r="TXG79" s="5"/>
      <c r="TXH79" s="5"/>
      <c r="TXI79" s="5"/>
      <c r="TXJ79" s="5"/>
      <c r="TXK79" s="5"/>
      <c r="TXL79" s="5"/>
      <c r="TXM79" s="5"/>
      <c r="TXN79" s="5"/>
      <c r="TXO79" s="5"/>
      <c r="TXP79" s="5"/>
      <c r="TXQ79" s="5"/>
      <c r="TXR79" s="5"/>
      <c r="TXS79" s="5"/>
      <c r="TXT79" s="5"/>
      <c r="TXU79" s="5"/>
      <c r="TXV79" s="5"/>
      <c r="TXW79" s="5"/>
      <c r="TXX79" s="5"/>
      <c r="TXY79" s="5"/>
      <c r="TXZ79" s="5"/>
      <c r="TYA79" s="5"/>
      <c r="TYB79" s="5"/>
      <c r="TYC79" s="5"/>
      <c r="TYD79" s="5"/>
      <c r="TYE79" s="5"/>
      <c r="TYF79" s="5"/>
      <c r="TYG79" s="5"/>
      <c r="TYH79" s="5"/>
      <c r="TYI79" s="5"/>
      <c r="TYJ79" s="5"/>
      <c r="TYK79" s="5"/>
      <c r="TYL79" s="5"/>
      <c r="TYM79" s="5"/>
      <c r="TYN79" s="5"/>
      <c r="TYO79" s="5"/>
      <c r="TYP79" s="5"/>
      <c r="TYQ79" s="5"/>
      <c r="TYR79" s="5"/>
      <c r="TYS79" s="5"/>
      <c r="TYT79" s="5"/>
      <c r="TYU79" s="5"/>
      <c r="TYV79" s="5"/>
      <c r="TYW79" s="5"/>
      <c r="TYX79" s="5"/>
      <c r="TYY79" s="5"/>
      <c r="TYZ79" s="5"/>
      <c r="TZA79" s="5"/>
      <c r="TZB79" s="5"/>
      <c r="TZC79" s="5"/>
      <c r="TZD79" s="5"/>
      <c r="TZE79" s="5"/>
      <c r="TZF79" s="5"/>
      <c r="TZG79" s="5"/>
      <c r="TZH79" s="5"/>
      <c r="TZI79" s="5"/>
      <c r="TZJ79" s="5"/>
      <c r="TZK79" s="5"/>
      <c r="TZL79" s="5"/>
      <c r="TZM79" s="5"/>
      <c r="TZN79" s="5"/>
      <c r="TZO79" s="5"/>
      <c r="TZP79" s="5"/>
      <c r="TZQ79" s="5"/>
      <c r="TZR79" s="5"/>
      <c r="TZS79" s="5"/>
      <c r="TZT79" s="5"/>
      <c r="TZU79" s="5"/>
      <c r="TZV79" s="5"/>
      <c r="TZW79" s="5"/>
      <c r="TZX79" s="5"/>
      <c r="TZY79" s="5"/>
      <c r="TZZ79" s="5"/>
      <c r="UAA79" s="5"/>
      <c r="UAB79" s="5"/>
      <c r="UAC79" s="5"/>
      <c r="UAD79" s="5"/>
      <c r="UAE79" s="5"/>
      <c r="UAF79" s="5"/>
      <c r="UAG79" s="5"/>
      <c r="UAH79" s="5"/>
      <c r="UAI79" s="5"/>
      <c r="UAJ79" s="5"/>
      <c r="UAK79" s="5"/>
      <c r="UAL79" s="5"/>
      <c r="UAM79" s="5"/>
      <c r="UAN79" s="5"/>
      <c r="UAO79" s="5"/>
      <c r="UAP79" s="5"/>
      <c r="UAQ79" s="5"/>
      <c r="UAR79" s="5"/>
      <c r="UAS79" s="5"/>
      <c r="UAT79" s="5"/>
      <c r="UAU79" s="5"/>
      <c r="UAV79" s="5"/>
      <c r="UAW79" s="5"/>
      <c r="UAX79" s="5"/>
      <c r="UAY79" s="5"/>
      <c r="UAZ79" s="5"/>
      <c r="UBA79" s="5"/>
      <c r="UBB79" s="5"/>
      <c r="UBC79" s="5"/>
      <c r="UBD79" s="5"/>
      <c r="UBE79" s="5"/>
      <c r="UBF79" s="5"/>
      <c r="UBG79" s="5"/>
      <c r="UBH79" s="5"/>
      <c r="UBI79" s="5"/>
      <c r="UBJ79" s="5"/>
      <c r="UBK79" s="5"/>
      <c r="UBL79" s="5"/>
      <c r="UBM79" s="5"/>
      <c r="UBN79" s="5"/>
      <c r="UBO79" s="5"/>
      <c r="UBP79" s="5"/>
      <c r="UBQ79" s="5"/>
      <c r="UBR79" s="5"/>
      <c r="UBS79" s="5"/>
      <c r="UBT79" s="5"/>
      <c r="UBU79" s="5"/>
      <c r="UBV79" s="5"/>
      <c r="UBW79" s="5"/>
      <c r="UBX79" s="5"/>
      <c r="UBY79" s="5"/>
      <c r="UBZ79" s="5"/>
      <c r="UCA79" s="5"/>
      <c r="UCB79" s="5"/>
      <c r="UCC79" s="5"/>
      <c r="UCD79" s="5"/>
      <c r="UCE79" s="5"/>
      <c r="UCF79" s="5"/>
      <c r="UCG79" s="5"/>
      <c r="UCH79" s="5"/>
      <c r="UCI79" s="5"/>
      <c r="UCJ79" s="5"/>
      <c r="UCK79" s="5"/>
      <c r="UCL79" s="5"/>
      <c r="UCM79" s="5"/>
      <c r="UCN79" s="5"/>
      <c r="UCO79" s="5"/>
      <c r="UCP79" s="5"/>
      <c r="UCQ79" s="5"/>
      <c r="UCR79" s="5"/>
      <c r="UCS79" s="5"/>
      <c r="UCT79" s="5"/>
      <c r="UCU79" s="5"/>
      <c r="UCV79" s="5"/>
      <c r="UCW79" s="5"/>
      <c r="UCX79" s="5"/>
      <c r="UCY79" s="5"/>
      <c r="UCZ79" s="5"/>
      <c r="UDA79" s="5"/>
      <c r="UDB79" s="5"/>
      <c r="UDC79" s="5"/>
      <c r="UDD79" s="5"/>
      <c r="UDE79" s="5"/>
      <c r="UDF79" s="5"/>
      <c r="UDG79" s="5"/>
      <c r="UDH79" s="5"/>
      <c r="UDI79" s="5"/>
      <c r="UDJ79" s="5"/>
      <c r="UDK79" s="5"/>
      <c r="UDL79" s="5"/>
      <c r="UDM79" s="5"/>
      <c r="UDN79" s="5"/>
      <c r="UDO79" s="5"/>
      <c r="UDP79" s="5"/>
      <c r="UDQ79" s="5"/>
      <c r="UDR79" s="5"/>
      <c r="UDS79" s="5"/>
      <c r="UDT79" s="5"/>
      <c r="UDU79" s="5"/>
      <c r="UDV79" s="5"/>
      <c r="UDW79" s="5"/>
      <c r="UDX79" s="5"/>
      <c r="UDY79" s="5"/>
      <c r="UDZ79" s="5"/>
      <c r="UEA79" s="5"/>
      <c r="UEB79" s="5"/>
      <c r="UEC79" s="5"/>
      <c r="UED79" s="5"/>
      <c r="UEE79" s="5"/>
      <c r="UEF79" s="5"/>
      <c r="UEG79" s="5"/>
      <c r="UEH79" s="5"/>
      <c r="UEI79" s="5"/>
      <c r="UEJ79" s="5"/>
      <c r="UEK79" s="5"/>
      <c r="UEL79" s="5"/>
      <c r="UEM79" s="5"/>
      <c r="UEN79" s="5"/>
      <c r="UEO79" s="5"/>
      <c r="UEP79" s="5"/>
      <c r="UEQ79" s="5"/>
      <c r="UER79" s="5"/>
      <c r="UES79" s="5"/>
      <c r="UET79" s="5"/>
      <c r="UEU79" s="5"/>
      <c r="UEV79" s="5"/>
      <c r="UEW79" s="5"/>
      <c r="UEX79" s="5"/>
      <c r="UEY79" s="5"/>
      <c r="UEZ79" s="5"/>
      <c r="UFA79" s="5"/>
      <c r="UFB79" s="5"/>
      <c r="UFC79" s="5"/>
      <c r="UFD79" s="5"/>
      <c r="UFE79" s="5"/>
      <c r="UFF79" s="5"/>
      <c r="UFG79" s="5"/>
      <c r="UFH79" s="5"/>
      <c r="UFI79" s="5"/>
      <c r="UFJ79" s="5"/>
      <c r="UFK79" s="5"/>
      <c r="UFL79" s="5"/>
      <c r="UFM79" s="5"/>
      <c r="UFN79" s="5"/>
      <c r="UFO79" s="5"/>
      <c r="UFP79" s="5"/>
      <c r="UFQ79" s="5"/>
      <c r="UFR79" s="5"/>
      <c r="UFS79" s="5"/>
      <c r="UFT79" s="5"/>
      <c r="UFU79" s="5"/>
      <c r="UFV79" s="5"/>
      <c r="UFW79" s="5"/>
      <c r="UFX79" s="5"/>
      <c r="UFY79" s="5"/>
      <c r="UFZ79" s="5"/>
      <c r="UGA79" s="5"/>
      <c r="UGB79" s="5"/>
      <c r="UGC79" s="5"/>
      <c r="UGD79" s="5"/>
      <c r="UGE79" s="5"/>
      <c r="UGF79" s="5"/>
      <c r="UGG79" s="5"/>
      <c r="UGH79" s="5"/>
      <c r="UGI79" s="5"/>
      <c r="UGJ79" s="5"/>
      <c r="UGK79" s="5"/>
      <c r="UGL79" s="5"/>
      <c r="UGM79" s="5"/>
      <c r="UGN79" s="5"/>
      <c r="UGO79" s="5"/>
      <c r="UGP79" s="5"/>
      <c r="UGQ79" s="5"/>
      <c r="UGR79" s="5"/>
      <c r="UGS79" s="5"/>
      <c r="UGT79" s="5"/>
      <c r="UGU79" s="5"/>
      <c r="UGV79" s="5"/>
      <c r="UGW79" s="5"/>
      <c r="UGX79" s="5"/>
      <c r="UGY79" s="5"/>
      <c r="UGZ79" s="5"/>
      <c r="UHA79" s="5"/>
      <c r="UHB79" s="5"/>
      <c r="UHC79" s="5"/>
      <c r="UHD79" s="5"/>
      <c r="UHE79" s="5"/>
      <c r="UHF79" s="5"/>
      <c r="UHG79" s="5"/>
      <c r="UHH79" s="5"/>
      <c r="UHI79" s="5"/>
      <c r="UHJ79" s="5"/>
      <c r="UHK79" s="5"/>
      <c r="UHL79" s="5"/>
      <c r="UHM79" s="5"/>
      <c r="UHN79" s="5"/>
      <c r="UHO79" s="5"/>
      <c r="UHP79" s="5"/>
      <c r="UHQ79" s="5"/>
      <c r="UHR79" s="5"/>
      <c r="UHS79" s="5"/>
      <c r="UHT79" s="5"/>
      <c r="UHU79" s="5"/>
      <c r="UHV79" s="5"/>
      <c r="UHW79" s="5"/>
      <c r="UHX79" s="5"/>
      <c r="UHY79" s="5"/>
      <c r="UHZ79" s="5"/>
      <c r="UIA79" s="5"/>
      <c r="UIB79" s="5"/>
      <c r="UIC79" s="5"/>
      <c r="UID79" s="5"/>
      <c r="UIE79" s="5"/>
      <c r="UIF79" s="5"/>
      <c r="UIG79" s="5"/>
      <c r="UIH79" s="5"/>
      <c r="UII79" s="5"/>
      <c r="UIJ79" s="5"/>
      <c r="UIK79" s="5"/>
      <c r="UIL79" s="5"/>
      <c r="UIM79" s="5"/>
      <c r="UIN79" s="5"/>
      <c r="UIO79" s="5"/>
      <c r="UIP79" s="5"/>
      <c r="UIQ79" s="5"/>
      <c r="UIR79" s="5"/>
      <c r="UIS79" s="5"/>
      <c r="UIT79" s="5"/>
      <c r="UIU79" s="5"/>
      <c r="UIV79" s="5"/>
      <c r="UIW79" s="5"/>
      <c r="UIX79" s="5"/>
      <c r="UIY79" s="5"/>
      <c r="UIZ79" s="5"/>
      <c r="UJA79" s="5"/>
      <c r="UJB79" s="5"/>
      <c r="UJC79" s="5"/>
      <c r="UJD79" s="5"/>
      <c r="UJE79" s="5"/>
      <c r="UJF79" s="5"/>
      <c r="UJG79" s="5"/>
      <c r="UJH79" s="5"/>
      <c r="UJI79" s="5"/>
      <c r="UJJ79" s="5"/>
      <c r="UJK79" s="5"/>
      <c r="UJL79" s="5"/>
      <c r="UJM79" s="5"/>
      <c r="UJN79" s="5"/>
      <c r="UJO79" s="5"/>
      <c r="UJP79" s="5"/>
      <c r="UJQ79" s="5"/>
      <c r="UJR79" s="5"/>
      <c r="UJS79" s="5"/>
      <c r="UJT79" s="5"/>
      <c r="UJU79" s="5"/>
      <c r="UJV79" s="5"/>
      <c r="UJW79" s="5"/>
      <c r="UJX79" s="5"/>
      <c r="UJY79" s="5"/>
      <c r="UJZ79" s="5"/>
      <c r="UKA79" s="5"/>
      <c r="UKB79" s="5"/>
      <c r="UKC79" s="5"/>
      <c r="UKD79" s="5"/>
      <c r="UKE79" s="5"/>
      <c r="UKF79" s="5"/>
      <c r="UKG79" s="5"/>
      <c r="UKH79" s="5"/>
      <c r="UKI79" s="5"/>
      <c r="UKJ79" s="5"/>
      <c r="UKK79" s="5"/>
      <c r="UKL79" s="5"/>
      <c r="UKM79" s="5"/>
      <c r="UKN79" s="5"/>
      <c r="UKO79" s="5"/>
      <c r="UKP79" s="5"/>
      <c r="UKQ79" s="5"/>
      <c r="UKR79" s="5"/>
      <c r="UKS79" s="5"/>
      <c r="UKT79" s="5"/>
      <c r="UKU79" s="5"/>
      <c r="UKV79" s="5"/>
      <c r="UKW79" s="5"/>
      <c r="UKX79" s="5"/>
      <c r="UKY79" s="5"/>
      <c r="UKZ79" s="5"/>
      <c r="ULA79" s="5"/>
      <c r="ULB79" s="5"/>
      <c r="ULC79" s="5"/>
      <c r="ULD79" s="5"/>
      <c r="ULE79" s="5"/>
      <c r="ULF79" s="5"/>
      <c r="ULG79" s="5"/>
      <c r="ULH79" s="5"/>
      <c r="ULI79" s="5"/>
      <c r="ULJ79" s="5"/>
      <c r="ULK79" s="5"/>
      <c r="ULL79" s="5"/>
      <c r="ULM79" s="5"/>
      <c r="ULN79" s="5"/>
      <c r="ULO79" s="5"/>
      <c r="ULP79" s="5"/>
      <c r="ULQ79" s="5"/>
      <c r="ULR79" s="5"/>
      <c r="ULS79" s="5"/>
      <c r="ULT79" s="5"/>
      <c r="ULU79" s="5"/>
      <c r="ULV79" s="5"/>
      <c r="ULW79" s="5"/>
      <c r="ULX79" s="5"/>
      <c r="ULY79" s="5"/>
      <c r="ULZ79" s="5"/>
      <c r="UMA79" s="5"/>
      <c r="UMB79" s="5"/>
      <c r="UMC79" s="5"/>
      <c r="UMD79" s="5"/>
      <c r="UME79" s="5"/>
      <c r="UMF79" s="5"/>
      <c r="UMG79" s="5"/>
      <c r="UMH79" s="5"/>
      <c r="UMI79" s="5"/>
      <c r="UMJ79" s="5"/>
      <c r="UMK79" s="5"/>
      <c r="UML79" s="5"/>
      <c r="UMM79" s="5"/>
      <c r="UMN79" s="5"/>
      <c r="UMO79" s="5"/>
      <c r="UMP79" s="5"/>
      <c r="UMQ79" s="5"/>
      <c r="UMR79" s="5"/>
      <c r="UMS79" s="5"/>
      <c r="UMT79" s="5"/>
      <c r="UMU79" s="5"/>
      <c r="UMV79" s="5"/>
      <c r="UMW79" s="5"/>
      <c r="UMX79" s="5"/>
      <c r="UMY79" s="5"/>
      <c r="UMZ79" s="5"/>
      <c r="UNA79" s="5"/>
      <c r="UNB79" s="5"/>
      <c r="UNC79" s="5"/>
      <c r="UND79" s="5"/>
      <c r="UNE79" s="5"/>
      <c r="UNF79" s="5"/>
      <c r="UNG79" s="5"/>
      <c r="UNH79" s="5"/>
      <c r="UNI79" s="5"/>
      <c r="UNJ79" s="5"/>
      <c r="UNK79" s="5"/>
      <c r="UNL79" s="5"/>
      <c r="UNM79" s="5"/>
      <c r="UNN79" s="5"/>
      <c r="UNO79" s="5"/>
      <c r="UNP79" s="5"/>
      <c r="UNQ79" s="5"/>
      <c r="UNR79" s="5"/>
      <c r="UNS79" s="5"/>
      <c r="UNT79" s="5"/>
      <c r="UNU79" s="5"/>
      <c r="UNV79" s="5"/>
      <c r="UNW79" s="5"/>
      <c r="UNX79" s="5"/>
      <c r="UNY79" s="5"/>
      <c r="UNZ79" s="5"/>
      <c r="UOA79" s="5"/>
      <c r="UOB79" s="5"/>
      <c r="UOC79" s="5"/>
      <c r="UOD79" s="5"/>
      <c r="UOE79" s="5"/>
      <c r="UOF79" s="5"/>
      <c r="UOG79" s="5"/>
      <c r="UOH79" s="5"/>
      <c r="UOI79" s="5"/>
      <c r="UOJ79" s="5"/>
      <c r="UOK79" s="5"/>
      <c r="UOL79" s="5"/>
      <c r="UOM79" s="5"/>
      <c r="UON79" s="5"/>
      <c r="UOO79" s="5"/>
      <c r="UOP79" s="5"/>
      <c r="UOQ79" s="5"/>
      <c r="UOR79" s="5"/>
      <c r="UOS79" s="5"/>
      <c r="UOT79" s="5"/>
      <c r="UOU79" s="5"/>
      <c r="UOV79" s="5"/>
      <c r="UOW79" s="5"/>
      <c r="UOX79" s="5"/>
      <c r="UOY79" s="5"/>
      <c r="UOZ79" s="5"/>
      <c r="UPA79" s="5"/>
      <c r="UPB79" s="5"/>
      <c r="UPC79" s="5"/>
      <c r="UPD79" s="5"/>
      <c r="UPE79" s="5"/>
      <c r="UPF79" s="5"/>
      <c r="UPG79" s="5"/>
      <c r="UPH79" s="5"/>
      <c r="UPI79" s="5"/>
      <c r="UPJ79" s="5"/>
      <c r="UPK79" s="5"/>
      <c r="UPL79" s="5"/>
      <c r="UPM79" s="5"/>
      <c r="UPN79" s="5"/>
      <c r="UPO79" s="5"/>
      <c r="UPP79" s="5"/>
      <c r="UPQ79" s="5"/>
      <c r="UPR79" s="5"/>
      <c r="UPS79" s="5"/>
      <c r="UPT79" s="5"/>
      <c r="UPU79" s="5"/>
      <c r="UPV79" s="5"/>
      <c r="UPW79" s="5"/>
      <c r="UPX79" s="5"/>
      <c r="UPY79" s="5"/>
      <c r="UPZ79" s="5"/>
      <c r="UQA79" s="5"/>
      <c r="UQB79" s="5"/>
      <c r="UQC79" s="5"/>
      <c r="UQD79" s="5"/>
      <c r="UQE79" s="5"/>
      <c r="UQF79" s="5"/>
      <c r="UQG79" s="5"/>
      <c r="UQH79" s="5"/>
      <c r="UQI79" s="5"/>
      <c r="UQJ79" s="5"/>
      <c r="UQK79" s="5"/>
      <c r="UQL79" s="5"/>
      <c r="UQM79" s="5"/>
      <c r="UQN79" s="5"/>
      <c r="UQO79" s="5"/>
      <c r="UQP79" s="5"/>
      <c r="UQQ79" s="5"/>
      <c r="UQR79" s="5"/>
      <c r="UQS79" s="5"/>
      <c r="UQT79" s="5"/>
      <c r="UQU79" s="5"/>
      <c r="UQV79" s="5"/>
      <c r="UQW79" s="5"/>
      <c r="UQX79" s="5"/>
      <c r="UQY79" s="5"/>
      <c r="UQZ79" s="5"/>
      <c r="URA79" s="5"/>
      <c r="URB79" s="5"/>
      <c r="URC79" s="5"/>
      <c r="URD79" s="5"/>
      <c r="URE79" s="5"/>
      <c r="URF79" s="5"/>
      <c r="URG79" s="5"/>
      <c r="URH79" s="5"/>
      <c r="URI79" s="5"/>
      <c r="URJ79" s="5"/>
      <c r="URK79" s="5"/>
      <c r="URL79" s="5"/>
      <c r="URM79" s="5"/>
      <c r="URN79" s="5"/>
      <c r="URO79" s="5"/>
      <c r="URP79" s="5"/>
      <c r="URQ79" s="5"/>
      <c r="URR79" s="5"/>
      <c r="URS79" s="5"/>
      <c r="URT79" s="5"/>
      <c r="URU79" s="5"/>
      <c r="URV79" s="5"/>
      <c r="URW79" s="5"/>
      <c r="URX79" s="5"/>
      <c r="URY79" s="5"/>
      <c r="URZ79" s="5"/>
      <c r="USA79" s="5"/>
      <c r="USB79" s="5"/>
      <c r="USC79" s="5"/>
      <c r="USD79" s="5"/>
      <c r="USE79" s="5"/>
      <c r="USF79" s="5"/>
      <c r="USG79" s="5"/>
      <c r="USH79" s="5"/>
      <c r="USI79" s="5"/>
      <c r="USJ79" s="5"/>
      <c r="USK79" s="5"/>
      <c r="USL79" s="5"/>
      <c r="USM79" s="5"/>
      <c r="USN79" s="5"/>
      <c r="USO79" s="5"/>
      <c r="USP79" s="5"/>
      <c r="USQ79" s="5"/>
      <c r="USR79" s="5"/>
      <c r="USS79" s="5"/>
      <c r="UST79" s="5"/>
      <c r="USU79" s="5"/>
      <c r="USV79" s="5"/>
      <c r="USW79" s="5"/>
      <c r="USX79" s="5"/>
      <c r="USY79" s="5"/>
      <c r="USZ79" s="5"/>
      <c r="UTA79" s="5"/>
      <c r="UTB79" s="5"/>
      <c r="UTC79" s="5"/>
      <c r="UTD79" s="5"/>
      <c r="UTE79" s="5"/>
      <c r="UTF79" s="5"/>
      <c r="UTG79" s="5"/>
      <c r="UTH79" s="5"/>
      <c r="UTI79" s="5"/>
      <c r="UTJ79" s="5"/>
      <c r="UTK79" s="5"/>
      <c r="UTL79" s="5"/>
      <c r="UTM79" s="5"/>
      <c r="UTN79" s="5"/>
      <c r="UTO79" s="5"/>
      <c r="UTP79" s="5"/>
      <c r="UTQ79" s="5"/>
      <c r="UTR79" s="5"/>
      <c r="UTS79" s="5"/>
      <c r="UTT79" s="5"/>
      <c r="UTU79" s="5"/>
      <c r="UTV79" s="5"/>
      <c r="UTW79" s="5"/>
      <c r="UTX79" s="5"/>
      <c r="UTY79" s="5"/>
      <c r="UTZ79" s="5"/>
      <c r="UUA79" s="5"/>
      <c r="UUB79" s="5"/>
      <c r="UUC79" s="5"/>
      <c r="UUD79" s="5"/>
      <c r="UUE79" s="5"/>
      <c r="UUF79" s="5"/>
      <c r="UUG79" s="5"/>
      <c r="UUH79" s="5"/>
      <c r="UUI79" s="5"/>
      <c r="UUJ79" s="5"/>
      <c r="UUK79" s="5"/>
      <c r="UUL79" s="5"/>
      <c r="UUM79" s="5"/>
      <c r="UUN79" s="5"/>
      <c r="UUO79" s="5"/>
      <c r="UUP79" s="5"/>
      <c r="UUQ79" s="5"/>
      <c r="UUR79" s="5"/>
      <c r="UUS79" s="5"/>
      <c r="UUT79" s="5"/>
      <c r="UUU79" s="5"/>
      <c r="UUV79" s="5"/>
      <c r="UUW79" s="5"/>
      <c r="UUX79" s="5"/>
      <c r="UUY79" s="5"/>
      <c r="UUZ79" s="5"/>
      <c r="UVA79" s="5"/>
      <c r="UVB79" s="5"/>
      <c r="UVC79" s="5"/>
      <c r="UVD79" s="5"/>
      <c r="UVE79" s="5"/>
      <c r="UVF79" s="5"/>
      <c r="UVG79" s="5"/>
      <c r="UVH79" s="5"/>
      <c r="UVI79" s="5"/>
      <c r="UVJ79" s="5"/>
      <c r="UVK79" s="5"/>
      <c r="UVL79" s="5"/>
      <c r="UVM79" s="5"/>
      <c r="UVN79" s="5"/>
      <c r="UVO79" s="5"/>
      <c r="UVP79" s="5"/>
      <c r="UVQ79" s="5"/>
      <c r="UVR79" s="5"/>
      <c r="UVS79" s="5"/>
      <c r="UVT79" s="5"/>
      <c r="UVU79" s="5"/>
      <c r="UVV79" s="5"/>
      <c r="UVW79" s="5"/>
      <c r="UVX79" s="5"/>
      <c r="UVY79" s="5"/>
      <c r="UVZ79" s="5"/>
      <c r="UWA79" s="5"/>
      <c r="UWB79" s="5"/>
      <c r="UWC79" s="5"/>
      <c r="UWD79" s="5"/>
      <c r="UWE79" s="5"/>
      <c r="UWF79" s="5"/>
      <c r="UWG79" s="5"/>
      <c r="UWH79" s="5"/>
      <c r="UWI79" s="5"/>
      <c r="UWJ79" s="5"/>
      <c r="UWK79" s="5"/>
      <c r="UWL79" s="5"/>
      <c r="UWM79" s="5"/>
      <c r="UWN79" s="5"/>
      <c r="UWO79" s="5"/>
      <c r="UWP79" s="5"/>
      <c r="UWQ79" s="5"/>
      <c r="UWR79" s="5"/>
      <c r="UWS79" s="5"/>
      <c r="UWT79" s="5"/>
      <c r="UWU79" s="5"/>
      <c r="UWV79" s="5"/>
      <c r="UWW79" s="5"/>
      <c r="UWX79" s="5"/>
      <c r="UWY79" s="5"/>
      <c r="UWZ79" s="5"/>
      <c r="UXA79" s="5"/>
      <c r="UXB79" s="5"/>
      <c r="UXC79" s="5"/>
      <c r="UXD79" s="5"/>
      <c r="UXE79" s="5"/>
      <c r="UXF79" s="5"/>
      <c r="UXG79" s="5"/>
      <c r="UXH79" s="5"/>
      <c r="UXI79" s="5"/>
      <c r="UXJ79" s="5"/>
      <c r="UXK79" s="5"/>
      <c r="UXL79" s="5"/>
      <c r="UXM79" s="5"/>
      <c r="UXN79" s="5"/>
      <c r="UXO79" s="5"/>
      <c r="UXP79" s="5"/>
      <c r="UXQ79" s="5"/>
      <c r="UXR79" s="5"/>
      <c r="UXS79" s="5"/>
      <c r="UXT79" s="5"/>
      <c r="UXU79" s="5"/>
      <c r="UXV79" s="5"/>
      <c r="UXW79" s="5"/>
      <c r="UXX79" s="5"/>
      <c r="UXY79" s="5"/>
      <c r="UXZ79" s="5"/>
      <c r="UYA79" s="5"/>
      <c r="UYB79" s="5"/>
      <c r="UYC79" s="5"/>
      <c r="UYD79" s="5"/>
      <c r="UYE79" s="5"/>
      <c r="UYF79" s="5"/>
      <c r="UYG79" s="5"/>
      <c r="UYH79" s="5"/>
      <c r="UYI79" s="5"/>
      <c r="UYJ79" s="5"/>
      <c r="UYK79" s="5"/>
      <c r="UYL79" s="5"/>
      <c r="UYM79" s="5"/>
      <c r="UYN79" s="5"/>
      <c r="UYO79" s="5"/>
      <c r="UYP79" s="5"/>
      <c r="UYQ79" s="5"/>
      <c r="UYR79" s="5"/>
      <c r="UYS79" s="5"/>
      <c r="UYT79" s="5"/>
      <c r="UYU79" s="5"/>
      <c r="UYV79" s="5"/>
      <c r="UYW79" s="5"/>
      <c r="UYX79" s="5"/>
      <c r="UYY79" s="5"/>
      <c r="UYZ79" s="5"/>
      <c r="UZA79" s="5"/>
      <c r="UZB79" s="5"/>
      <c r="UZC79" s="5"/>
      <c r="UZD79" s="5"/>
      <c r="UZE79" s="5"/>
      <c r="UZF79" s="5"/>
      <c r="UZG79" s="5"/>
      <c r="UZH79" s="5"/>
      <c r="UZI79" s="5"/>
      <c r="UZJ79" s="5"/>
      <c r="UZK79" s="5"/>
      <c r="UZL79" s="5"/>
      <c r="UZM79" s="5"/>
      <c r="UZN79" s="5"/>
      <c r="UZO79" s="5"/>
      <c r="UZP79" s="5"/>
      <c r="UZQ79" s="5"/>
      <c r="UZR79" s="5"/>
      <c r="UZS79" s="5"/>
      <c r="UZT79" s="5"/>
      <c r="UZU79" s="5"/>
      <c r="UZV79" s="5"/>
      <c r="UZW79" s="5"/>
      <c r="UZX79" s="5"/>
      <c r="UZY79" s="5"/>
      <c r="UZZ79" s="5"/>
      <c r="VAA79" s="5"/>
      <c r="VAB79" s="5"/>
      <c r="VAC79" s="5"/>
      <c r="VAD79" s="5"/>
      <c r="VAE79" s="5"/>
      <c r="VAF79" s="5"/>
      <c r="VAG79" s="5"/>
      <c r="VAH79" s="5"/>
      <c r="VAI79" s="5"/>
      <c r="VAJ79" s="5"/>
      <c r="VAK79" s="5"/>
      <c r="VAL79" s="5"/>
      <c r="VAM79" s="5"/>
      <c r="VAN79" s="5"/>
      <c r="VAO79" s="5"/>
      <c r="VAP79" s="5"/>
      <c r="VAQ79" s="5"/>
      <c r="VAR79" s="5"/>
      <c r="VAS79" s="5"/>
      <c r="VAT79" s="5"/>
      <c r="VAU79" s="5"/>
      <c r="VAV79" s="5"/>
      <c r="VAW79" s="5"/>
      <c r="VAX79" s="5"/>
      <c r="VAY79" s="5"/>
      <c r="VAZ79" s="5"/>
      <c r="VBA79" s="5"/>
      <c r="VBB79" s="5"/>
      <c r="VBC79" s="5"/>
      <c r="VBD79" s="5"/>
      <c r="VBE79" s="5"/>
      <c r="VBF79" s="5"/>
      <c r="VBG79" s="5"/>
      <c r="VBH79" s="5"/>
      <c r="VBI79" s="5"/>
      <c r="VBJ79" s="5"/>
      <c r="VBK79" s="5"/>
      <c r="VBL79" s="5"/>
      <c r="VBM79" s="5"/>
      <c r="VBN79" s="5"/>
      <c r="VBO79" s="5"/>
      <c r="VBP79" s="5"/>
      <c r="VBQ79" s="5"/>
      <c r="VBR79" s="5"/>
      <c r="VBS79" s="5"/>
      <c r="VBT79" s="5"/>
      <c r="VBU79" s="5"/>
      <c r="VBV79" s="5"/>
      <c r="VBW79" s="5"/>
      <c r="VBX79" s="5"/>
      <c r="VBY79" s="5"/>
      <c r="VBZ79" s="5"/>
      <c r="VCA79" s="5"/>
      <c r="VCB79" s="5"/>
      <c r="VCC79" s="5"/>
      <c r="VCD79" s="5"/>
      <c r="VCE79" s="5"/>
      <c r="VCF79" s="5"/>
      <c r="VCG79" s="5"/>
      <c r="VCH79" s="5"/>
      <c r="VCI79" s="5"/>
      <c r="VCJ79" s="5"/>
      <c r="VCK79" s="5"/>
      <c r="VCL79" s="5"/>
      <c r="VCM79" s="5"/>
      <c r="VCN79" s="5"/>
      <c r="VCO79" s="5"/>
      <c r="VCP79" s="5"/>
      <c r="VCQ79" s="5"/>
      <c r="VCR79" s="5"/>
      <c r="VCS79" s="5"/>
      <c r="VCT79" s="5"/>
      <c r="VCU79" s="5"/>
      <c r="VCV79" s="5"/>
      <c r="VCW79" s="5"/>
      <c r="VCX79" s="5"/>
      <c r="VCY79" s="5"/>
      <c r="VCZ79" s="5"/>
      <c r="VDA79" s="5"/>
      <c r="VDB79" s="5"/>
      <c r="VDC79" s="5"/>
      <c r="VDD79" s="5"/>
      <c r="VDE79" s="5"/>
      <c r="VDF79" s="5"/>
      <c r="VDG79" s="5"/>
      <c r="VDH79" s="5"/>
      <c r="VDI79" s="5"/>
      <c r="VDJ79" s="5"/>
      <c r="VDK79" s="5"/>
      <c r="VDL79" s="5"/>
      <c r="VDM79" s="5"/>
      <c r="VDN79" s="5"/>
      <c r="VDO79" s="5"/>
      <c r="VDP79" s="5"/>
      <c r="VDQ79" s="5"/>
      <c r="VDR79" s="5"/>
      <c r="VDS79" s="5"/>
      <c r="VDT79" s="5"/>
      <c r="VDU79" s="5"/>
      <c r="VDV79" s="5"/>
      <c r="VDW79" s="5"/>
      <c r="VDX79" s="5"/>
      <c r="VDY79" s="5"/>
      <c r="VDZ79" s="5"/>
      <c r="VEA79" s="5"/>
      <c r="VEB79" s="5"/>
      <c r="VEC79" s="5"/>
      <c r="VED79" s="5"/>
      <c r="VEE79" s="5"/>
      <c r="VEF79" s="5"/>
      <c r="VEG79" s="5"/>
      <c r="VEH79" s="5"/>
      <c r="VEI79" s="5"/>
      <c r="VEJ79" s="5"/>
      <c r="VEK79" s="5"/>
      <c r="VEL79" s="5"/>
      <c r="VEM79" s="5"/>
      <c r="VEN79" s="5"/>
      <c r="VEO79" s="5"/>
      <c r="VEP79" s="5"/>
      <c r="VEQ79" s="5"/>
      <c r="VER79" s="5"/>
      <c r="VES79" s="5"/>
      <c r="VET79" s="5"/>
      <c r="VEU79" s="5"/>
      <c r="VEV79" s="5"/>
      <c r="VEW79" s="5"/>
      <c r="VEX79" s="5"/>
      <c r="VEY79" s="5"/>
      <c r="VEZ79" s="5"/>
      <c r="VFA79" s="5"/>
      <c r="VFB79" s="5"/>
      <c r="VFC79" s="5"/>
      <c r="VFD79" s="5"/>
      <c r="VFE79" s="5"/>
      <c r="VFF79" s="5"/>
      <c r="VFG79" s="5"/>
      <c r="VFH79" s="5"/>
      <c r="VFI79" s="5"/>
      <c r="VFJ79" s="5"/>
      <c r="VFK79" s="5"/>
      <c r="VFL79" s="5"/>
      <c r="VFM79" s="5"/>
      <c r="VFN79" s="5"/>
      <c r="VFO79" s="5"/>
      <c r="VFP79" s="5"/>
      <c r="VFQ79" s="5"/>
      <c r="VFR79" s="5"/>
      <c r="VFS79" s="5"/>
      <c r="VFT79" s="5"/>
      <c r="VFU79" s="5"/>
      <c r="VFV79" s="5"/>
      <c r="VFW79" s="5"/>
      <c r="VFX79" s="5"/>
      <c r="VFY79" s="5"/>
      <c r="VFZ79" s="5"/>
      <c r="VGA79" s="5"/>
      <c r="VGB79" s="5"/>
      <c r="VGC79" s="5"/>
      <c r="VGD79" s="5"/>
      <c r="VGE79" s="5"/>
      <c r="VGF79" s="5"/>
      <c r="VGG79" s="5"/>
      <c r="VGH79" s="5"/>
      <c r="VGI79" s="5"/>
      <c r="VGJ79" s="5"/>
      <c r="VGK79" s="5"/>
      <c r="VGL79" s="5"/>
      <c r="VGM79" s="5"/>
      <c r="VGN79" s="5"/>
      <c r="VGO79" s="5"/>
      <c r="VGP79" s="5"/>
      <c r="VGQ79" s="5"/>
      <c r="VGR79" s="5"/>
      <c r="VGS79" s="5"/>
      <c r="VGT79" s="5"/>
      <c r="VGU79" s="5"/>
      <c r="VGV79" s="5"/>
      <c r="VGW79" s="5"/>
      <c r="VGX79" s="5"/>
      <c r="VGY79" s="5"/>
      <c r="VGZ79" s="5"/>
      <c r="VHA79" s="5"/>
      <c r="VHB79" s="5"/>
      <c r="VHC79" s="5"/>
      <c r="VHD79" s="5"/>
      <c r="VHE79" s="5"/>
      <c r="VHF79" s="5"/>
      <c r="VHG79" s="5"/>
      <c r="VHH79" s="5"/>
      <c r="VHI79" s="5"/>
      <c r="VHJ79" s="5"/>
      <c r="VHK79" s="5"/>
      <c r="VHL79" s="5"/>
      <c r="VHM79" s="5"/>
      <c r="VHN79" s="5"/>
      <c r="VHO79" s="5"/>
      <c r="VHP79" s="5"/>
      <c r="VHQ79" s="5"/>
      <c r="VHR79" s="5"/>
      <c r="VHS79" s="5"/>
      <c r="VHT79" s="5"/>
      <c r="VHU79" s="5"/>
      <c r="VHV79" s="5"/>
      <c r="VHW79" s="5"/>
      <c r="VHX79" s="5"/>
      <c r="VHY79" s="5"/>
      <c r="VHZ79" s="5"/>
      <c r="VIA79" s="5"/>
      <c r="VIB79" s="5"/>
      <c r="VIC79" s="5"/>
      <c r="VID79" s="5"/>
      <c r="VIE79" s="5"/>
      <c r="VIF79" s="5"/>
      <c r="VIG79" s="5"/>
      <c r="VIH79" s="5"/>
      <c r="VII79" s="5"/>
      <c r="VIJ79" s="5"/>
      <c r="VIK79" s="5"/>
      <c r="VIL79" s="5"/>
      <c r="VIM79" s="5"/>
      <c r="VIN79" s="5"/>
      <c r="VIO79" s="5"/>
      <c r="VIP79" s="5"/>
      <c r="VIQ79" s="5"/>
      <c r="VIR79" s="5"/>
      <c r="VIS79" s="5"/>
      <c r="VIT79" s="5"/>
      <c r="VIU79" s="5"/>
      <c r="VIV79" s="5"/>
      <c r="VIW79" s="5"/>
      <c r="VIX79" s="5"/>
      <c r="VIY79" s="5"/>
      <c r="VIZ79" s="5"/>
      <c r="VJA79" s="5"/>
      <c r="VJB79" s="5"/>
      <c r="VJC79" s="5"/>
      <c r="VJD79" s="5"/>
      <c r="VJE79" s="5"/>
      <c r="VJF79" s="5"/>
      <c r="VJG79" s="5"/>
      <c r="VJH79" s="5"/>
      <c r="VJI79" s="5"/>
      <c r="VJJ79" s="5"/>
      <c r="VJK79" s="5"/>
      <c r="VJL79" s="5"/>
      <c r="VJM79" s="5"/>
      <c r="VJN79" s="5"/>
      <c r="VJO79" s="5"/>
      <c r="VJP79" s="5"/>
      <c r="VJQ79" s="5"/>
      <c r="VJR79" s="5"/>
      <c r="VJS79" s="5"/>
      <c r="VJT79" s="5"/>
      <c r="VJU79" s="5"/>
      <c r="VJV79" s="5"/>
      <c r="VJW79" s="5"/>
      <c r="VJX79" s="5"/>
      <c r="VJY79" s="5"/>
      <c r="VJZ79" s="5"/>
      <c r="VKA79" s="5"/>
      <c r="VKB79" s="5"/>
      <c r="VKC79" s="5"/>
      <c r="VKD79" s="5"/>
      <c r="VKE79" s="5"/>
      <c r="VKF79" s="5"/>
      <c r="VKG79" s="5"/>
      <c r="VKH79" s="5"/>
      <c r="VKI79" s="5"/>
      <c r="VKJ79" s="5"/>
      <c r="VKK79" s="5"/>
      <c r="VKL79" s="5"/>
      <c r="VKM79" s="5"/>
      <c r="VKN79" s="5"/>
      <c r="VKO79" s="5"/>
      <c r="VKP79" s="5"/>
      <c r="VKQ79" s="5"/>
      <c r="VKR79" s="5"/>
      <c r="VKS79" s="5"/>
      <c r="VKT79" s="5"/>
      <c r="VKU79" s="5"/>
      <c r="VKV79" s="5"/>
      <c r="VKW79" s="5"/>
      <c r="VKX79" s="5"/>
      <c r="VKY79" s="5"/>
      <c r="VKZ79" s="5"/>
      <c r="VLA79" s="5"/>
      <c r="VLB79" s="5"/>
      <c r="VLC79" s="5"/>
      <c r="VLD79" s="5"/>
      <c r="VLE79" s="5"/>
      <c r="VLF79" s="5"/>
      <c r="VLG79" s="5"/>
      <c r="VLH79" s="5"/>
      <c r="VLI79" s="5"/>
      <c r="VLJ79" s="5"/>
      <c r="VLK79" s="5"/>
      <c r="VLL79" s="5"/>
      <c r="VLM79" s="5"/>
      <c r="VLN79" s="5"/>
      <c r="VLO79" s="5"/>
      <c r="VLP79" s="5"/>
      <c r="VLQ79" s="5"/>
      <c r="VLR79" s="5"/>
      <c r="VLS79" s="5"/>
      <c r="VLT79" s="5"/>
      <c r="VLU79" s="5"/>
      <c r="VLV79" s="5"/>
      <c r="VLW79" s="5"/>
      <c r="VLX79" s="5"/>
      <c r="VLY79" s="5"/>
      <c r="VLZ79" s="5"/>
      <c r="VMA79" s="5"/>
      <c r="VMB79" s="5"/>
      <c r="VMC79" s="5"/>
      <c r="VMD79" s="5"/>
      <c r="VME79" s="5"/>
      <c r="VMF79" s="5"/>
      <c r="VMG79" s="5"/>
      <c r="VMH79" s="5"/>
      <c r="VMI79" s="5"/>
      <c r="VMJ79" s="5"/>
      <c r="VMK79" s="5"/>
      <c r="VML79" s="5"/>
      <c r="VMM79" s="5"/>
      <c r="VMN79" s="5"/>
      <c r="VMO79" s="5"/>
      <c r="VMP79" s="5"/>
      <c r="VMQ79" s="5"/>
      <c r="VMR79" s="5"/>
      <c r="VMS79" s="5"/>
      <c r="VMT79" s="5"/>
      <c r="VMU79" s="5"/>
      <c r="VMV79" s="5"/>
      <c r="VMW79" s="5"/>
      <c r="VMX79" s="5"/>
      <c r="VMY79" s="5"/>
      <c r="VMZ79" s="5"/>
      <c r="VNA79" s="5"/>
      <c r="VNB79" s="5"/>
      <c r="VNC79" s="5"/>
      <c r="VND79" s="5"/>
      <c r="VNE79" s="5"/>
      <c r="VNF79" s="5"/>
      <c r="VNG79" s="5"/>
      <c r="VNH79" s="5"/>
      <c r="VNI79" s="5"/>
      <c r="VNJ79" s="5"/>
      <c r="VNK79" s="5"/>
      <c r="VNL79" s="5"/>
      <c r="VNM79" s="5"/>
      <c r="VNN79" s="5"/>
      <c r="VNO79" s="5"/>
      <c r="VNP79" s="5"/>
      <c r="VNQ79" s="5"/>
      <c r="VNR79" s="5"/>
      <c r="VNS79" s="5"/>
      <c r="VNT79" s="5"/>
      <c r="VNU79" s="5"/>
      <c r="VNV79" s="5"/>
      <c r="VNW79" s="5"/>
      <c r="VNX79" s="5"/>
      <c r="VNY79" s="5"/>
      <c r="VNZ79" s="5"/>
      <c r="VOA79" s="5"/>
      <c r="VOB79" s="5"/>
      <c r="VOC79" s="5"/>
      <c r="VOD79" s="5"/>
      <c r="VOE79" s="5"/>
      <c r="VOF79" s="5"/>
      <c r="VOG79" s="5"/>
      <c r="VOH79" s="5"/>
      <c r="VOI79" s="5"/>
      <c r="VOJ79" s="5"/>
      <c r="VOK79" s="5"/>
      <c r="VOL79" s="5"/>
      <c r="VOM79" s="5"/>
      <c r="VON79" s="5"/>
      <c r="VOO79" s="5"/>
      <c r="VOP79" s="5"/>
      <c r="VOQ79" s="5"/>
      <c r="VOR79" s="5"/>
      <c r="VOS79" s="5"/>
      <c r="VOT79" s="5"/>
      <c r="VOU79" s="5"/>
      <c r="VOV79" s="5"/>
      <c r="VOW79" s="5"/>
      <c r="VOX79" s="5"/>
      <c r="VOY79" s="5"/>
      <c r="VOZ79" s="5"/>
      <c r="VPA79" s="5"/>
      <c r="VPB79" s="5"/>
      <c r="VPC79" s="5"/>
      <c r="VPD79" s="5"/>
      <c r="VPE79" s="5"/>
      <c r="VPF79" s="5"/>
      <c r="VPG79" s="5"/>
      <c r="VPH79" s="5"/>
      <c r="VPI79" s="5"/>
      <c r="VPJ79" s="5"/>
      <c r="VPK79" s="5"/>
      <c r="VPL79" s="5"/>
      <c r="VPM79" s="5"/>
      <c r="VPN79" s="5"/>
      <c r="VPO79" s="5"/>
      <c r="VPP79" s="5"/>
      <c r="VPQ79" s="5"/>
      <c r="VPR79" s="5"/>
      <c r="VPS79" s="5"/>
      <c r="VPT79" s="5"/>
      <c r="VPU79" s="5"/>
      <c r="VPV79" s="5"/>
      <c r="VPW79" s="5"/>
      <c r="VPX79" s="5"/>
      <c r="VPY79" s="5"/>
      <c r="VPZ79" s="5"/>
      <c r="VQA79" s="5"/>
      <c r="VQB79" s="5"/>
      <c r="VQC79" s="5"/>
      <c r="VQD79" s="5"/>
      <c r="VQE79" s="5"/>
      <c r="VQF79" s="5"/>
      <c r="VQG79" s="5"/>
      <c r="VQH79" s="5"/>
      <c r="VQI79" s="5"/>
      <c r="VQJ79" s="5"/>
      <c r="VQK79" s="5"/>
      <c r="VQL79" s="5"/>
      <c r="VQM79" s="5"/>
      <c r="VQN79" s="5"/>
      <c r="VQO79" s="5"/>
      <c r="VQP79" s="5"/>
      <c r="VQQ79" s="5"/>
      <c r="VQR79" s="5"/>
      <c r="VQS79" s="5"/>
      <c r="VQT79" s="5"/>
      <c r="VQU79" s="5"/>
      <c r="VQV79" s="5"/>
      <c r="VQW79" s="5"/>
      <c r="VQX79" s="5"/>
      <c r="VQY79" s="5"/>
      <c r="VQZ79" s="5"/>
      <c r="VRA79" s="5"/>
      <c r="VRB79" s="5"/>
      <c r="VRC79" s="5"/>
      <c r="VRD79" s="5"/>
      <c r="VRE79" s="5"/>
      <c r="VRF79" s="5"/>
      <c r="VRG79" s="5"/>
      <c r="VRH79" s="5"/>
      <c r="VRI79" s="5"/>
      <c r="VRJ79" s="5"/>
      <c r="VRK79" s="5"/>
      <c r="VRL79" s="5"/>
      <c r="VRM79" s="5"/>
      <c r="VRN79" s="5"/>
      <c r="VRO79" s="5"/>
      <c r="VRP79" s="5"/>
      <c r="VRQ79" s="5"/>
      <c r="VRR79" s="5"/>
      <c r="VRS79" s="5"/>
      <c r="VRT79" s="5"/>
      <c r="VRU79" s="5"/>
      <c r="VRV79" s="5"/>
      <c r="VRW79" s="5"/>
      <c r="VRX79" s="5"/>
      <c r="VRY79" s="5"/>
      <c r="VRZ79" s="5"/>
      <c r="VSA79" s="5"/>
      <c r="VSB79" s="5"/>
      <c r="VSC79" s="5"/>
      <c r="VSD79" s="5"/>
      <c r="VSE79" s="5"/>
      <c r="VSF79" s="5"/>
      <c r="VSG79" s="5"/>
      <c r="VSH79" s="5"/>
      <c r="VSI79" s="5"/>
      <c r="VSJ79" s="5"/>
      <c r="VSK79" s="5"/>
      <c r="VSL79" s="5"/>
      <c r="VSM79" s="5"/>
      <c r="VSN79" s="5"/>
      <c r="VSO79" s="5"/>
      <c r="VSP79" s="5"/>
      <c r="VSQ79" s="5"/>
      <c r="VSR79" s="5"/>
      <c r="VSS79" s="5"/>
      <c r="VST79" s="5"/>
      <c r="VSU79" s="5"/>
      <c r="VSV79" s="5"/>
      <c r="VSW79" s="5"/>
      <c r="VSX79" s="5"/>
      <c r="VSY79" s="5"/>
      <c r="VSZ79" s="5"/>
      <c r="VTA79" s="5"/>
      <c r="VTB79" s="5"/>
      <c r="VTC79" s="5"/>
      <c r="VTD79" s="5"/>
      <c r="VTE79" s="5"/>
      <c r="VTF79" s="5"/>
      <c r="VTG79" s="5"/>
      <c r="VTH79" s="5"/>
      <c r="VTI79" s="5"/>
      <c r="VTJ79" s="5"/>
      <c r="VTK79" s="5"/>
      <c r="VTL79" s="5"/>
      <c r="VTM79" s="5"/>
      <c r="VTN79" s="5"/>
      <c r="VTO79" s="5"/>
      <c r="VTP79" s="5"/>
      <c r="VTQ79" s="5"/>
      <c r="VTR79" s="5"/>
      <c r="VTS79" s="5"/>
      <c r="VTT79" s="5"/>
      <c r="VTU79" s="5"/>
      <c r="VTV79" s="5"/>
      <c r="VTW79" s="5"/>
      <c r="VTX79" s="5"/>
      <c r="VTY79" s="5"/>
      <c r="VTZ79" s="5"/>
      <c r="VUA79" s="5"/>
      <c r="VUB79" s="5"/>
      <c r="VUC79" s="5"/>
      <c r="VUD79" s="5"/>
      <c r="VUE79" s="5"/>
      <c r="VUF79" s="5"/>
      <c r="VUG79" s="5"/>
      <c r="VUH79" s="5"/>
      <c r="VUI79" s="5"/>
      <c r="VUJ79" s="5"/>
      <c r="VUK79" s="5"/>
      <c r="VUL79" s="5"/>
      <c r="VUM79" s="5"/>
      <c r="VUN79" s="5"/>
      <c r="VUO79" s="5"/>
      <c r="VUP79" s="5"/>
      <c r="VUQ79" s="5"/>
      <c r="VUR79" s="5"/>
      <c r="VUS79" s="5"/>
      <c r="VUT79" s="5"/>
      <c r="VUU79" s="5"/>
      <c r="VUV79" s="5"/>
      <c r="VUW79" s="5"/>
      <c r="VUX79" s="5"/>
      <c r="VUY79" s="5"/>
      <c r="VUZ79" s="5"/>
      <c r="VVA79" s="5"/>
      <c r="VVB79" s="5"/>
      <c r="VVC79" s="5"/>
      <c r="VVD79" s="5"/>
      <c r="VVE79" s="5"/>
      <c r="VVF79" s="5"/>
      <c r="VVG79" s="5"/>
      <c r="VVH79" s="5"/>
      <c r="VVI79" s="5"/>
      <c r="VVJ79" s="5"/>
      <c r="VVK79" s="5"/>
      <c r="VVL79" s="5"/>
      <c r="VVM79" s="5"/>
      <c r="VVN79" s="5"/>
      <c r="VVO79" s="5"/>
      <c r="VVP79" s="5"/>
      <c r="VVQ79" s="5"/>
      <c r="VVR79" s="5"/>
      <c r="VVS79" s="5"/>
      <c r="VVT79" s="5"/>
      <c r="VVU79" s="5"/>
      <c r="VVV79" s="5"/>
      <c r="VVW79" s="5"/>
      <c r="VVX79" s="5"/>
      <c r="VVY79" s="5"/>
      <c r="VVZ79" s="5"/>
      <c r="VWA79" s="5"/>
      <c r="VWB79" s="5"/>
      <c r="VWC79" s="5"/>
      <c r="VWD79" s="5"/>
      <c r="VWE79" s="5"/>
      <c r="VWF79" s="5"/>
      <c r="VWG79" s="5"/>
      <c r="VWH79" s="5"/>
      <c r="VWI79" s="5"/>
      <c r="VWJ79" s="5"/>
      <c r="VWK79" s="5"/>
      <c r="VWL79" s="5"/>
      <c r="VWM79" s="5"/>
      <c r="VWN79" s="5"/>
      <c r="VWO79" s="5"/>
      <c r="VWP79" s="5"/>
      <c r="VWQ79" s="5"/>
      <c r="VWR79" s="5"/>
      <c r="VWS79" s="5"/>
      <c r="VWT79" s="5"/>
      <c r="VWU79" s="5"/>
      <c r="VWV79" s="5"/>
      <c r="VWW79" s="5"/>
      <c r="VWX79" s="5"/>
      <c r="VWY79" s="5"/>
      <c r="VWZ79" s="5"/>
      <c r="VXA79" s="5"/>
      <c r="VXB79" s="5"/>
      <c r="VXC79" s="5"/>
      <c r="VXD79" s="5"/>
      <c r="VXE79" s="5"/>
      <c r="VXF79" s="5"/>
      <c r="VXG79" s="5"/>
      <c r="VXH79" s="5"/>
      <c r="VXI79" s="5"/>
      <c r="VXJ79" s="5"/>
      <c r="VXK79" s="5"/>
      <c r="VXL79" s="5"/>
      <c r="VXM79" s="5"/>
      <c r="VXN79" s="5"/>
      <c r="VXO79" s="5"/>
      <c r="VXP79" s="5"/>
      <c r="VXQ79" s="5"/>
      <c r="VXR79" s="5"/>
      <c r="VXS79" s="5"/>
      <c r="VXT79" s="5"/>
      <c r="VXU79" s="5"/>
      <c r="VXV79" s="5"/>
      <c r="VXW79" s="5"/>
      <c r="VXX79" s="5"/>
      <c r="VXY79" s="5"/>
      <c r="VXZ79" s="5"/>
      <c r="VYA79" s="5"/>
      <c r="VYB79" s="5"/>
      <c r="VYC79" s="5"/>
      <c r="VYD79" s="5"/>
      <c r="VYE79" s="5"/>
      <c r="VYF79" s="5"/>
      <c r="VYG79" s="5"/>
      <c r="VYH79" s="5"/>
      <c r="VYI79" s="5"/>
      <c r="VYJ79" s="5"/>
      <c r="VYK79" s="5"/>
      <c r="VYL79" s="5"/>
      <c r="VYM79" s="5"/>
      <c r="VYN79" s="5"/>
      <c r="VYO79" s="5"/>
      <c r="VYP79" s="5"/>
      <c r="VYQ79" s="5"/>
      <c r="VYR79" s="5"/>
      <c r="VYS79" s="5"/>
      <c r="VYT79" s="5"/>
      <c r="VYU79" s="5"/>
      <c r="VYV79" s="5"/>
      <c r="VYW79" s="5"/>
      <c r="VYX79" s="5"/>
      <c r="VYY79" s="5"/>
      <c r="VYZ79" s="5"/>
      <c r="VZA79" s="5"/>
      <c r="VZB79" s="5"/>
      <c r="VZC79" s="5"/>
      <c r="VZD79" s="5"/>
      <c r="VZE79" s="5"/>
      <c r="VZF79" s="5"/>
      <c r="VZG79" s="5"/>
      <c r="VZH79" s="5"/>
      <c r="VZI79" s="5"/>
      <c r="VZJ79" s="5"/>
      <c r="VZK79" s="5"/>
      <c r="VZL79" s="5"/>
      <c r="VZM79" s="5"/>
      <c r="VZN79" s="5"/>
      <c r="VZO79" s="5"/>
      <c r="VZP79" s="5"/>
      <c r="VZQ79" s="5"/>
      <c r="VZR79" s="5"/>
      <c r="VZS79" s="5"/>
      <c r="VZT79" s="5"/>
      <c r="VZU79" s="5"/>
      <c r="VZV79" s="5"/>
      <c r="VZW79" s="5"/>
      <c r="VZX79" s="5"/>
      <c r="VZY79" s="5"/>
      <c r="VZZ79" s="5"/>
      <c r="WAA79" s="5"/>
      <c r="WAB79" s="5"/>
      <c r="WAC79" s="5"/>
      <c r="WAD79" s="5"/>
      <c r="WAE79" s="5"/>
      <c r="WAF79" s="5"/>
      <c r="WAG79" s="5"/>
      <c r="WAH79" s="5"/>
      <c r="WAI79" s="5"/>
      <c r="WAJ79" s="5"/>
      <c r="WAK79" s="5"/>
      <c r="WAL79" s="5"/>
      <c r="WAM79" s="5"/>
      <c r="WAN79" s="5"/>
      <c r="WAO79" s="5"/>
      <c r="WAP79" s="5"/>
      <c r="WAQ79" s="5"/>
      <c r="WAR79" s="5"/>
      <c r="WAS79" s="5"/>
      <c r="WAT79" s="5"/>
      <c r="WAU79" s="5"/>
      <c r="WAV79" s="5"/>
      <c r="WAW79" s="5"/>
      <c r="WAX79" s="5"/>
      <c r="WAY79" s="5"/>
      <c r="WAZ79" s="5"/>
      <c r="WBA79" s="5"/>
      <c r="WBB79" s="5"/>
      <c r="WBC79" s="5"/>
      <c r="WBD79" s="5"/>
      <c r="WBE79" s="5"/>
      <c r="WBF79" s="5"/>
      <c r="WBG79" s="5"/>
      <c r="WBH79" s="5"/>
      <c r="WBI79" s="5"/>
      <c r="WBJ79" s="5"/>
      <c r="WBK79" s="5"/>
      <c r="WBL79" s="5"/>
      <c r="WBM79" s="5"/>
      <c r="WBN79" s="5"/>
      <c r="WBO79" s="5"/>
      <c r="WBP79" s="5"/>
      <c r="WBQ79" s="5"/>
      <c r="WBR79" s="5"/>
      <c r="WBS79" s="5"/>
      <c r="WBT79" s="5"/>
      <c r="WBU79" s="5"/>
      <c r="WBV79" s="5"/>
      <c r="WBW79" s="5"/>
      <c r="WBX79" s="5"/>
      <c r="WBY79" s="5"/>
      <c r="WBZ79" s="5"/>
      <c r="WCA79" s="5"/>
      <c r="WCB79" s="5"/>
      <c r="WCC79" s="5"/>
      <c r="WCD79" s="5"/>
      <c r="WCE79" s="5"/>
      <c r="WCF79" s="5"/>
      <c r="WCG79" s="5"/>
      <c r="WCH79" s="5"/>
      <c r="WCI79" s="5"/>
      <c r="WCJ79" s="5"/>
      <c r="WCK79" s="5"/>
      <c r="WCL79" s="5"/>
      <c r="WCM79" s="5"/>
      <c r="WCN79" s="5"/>
      <c r="WCO79" s="5"/>
      <c r="WCP79" s="5"/>
      <c r="WCQ79" s="5"/>
      <c r="WCR79" s="5"/>
      <c r="WCS79" s="5"/>
      <c r="WCT79" s="5"/>
      <c r="WCU79" s="5"/>
      <c r="WCV79" s="5"/>
      <c r="WCW79" s="5"/>
      <c r="WCX79" s="5"/>
      <c r="WCY79" s="5"/>
      <c r="WCZ79" s="5"/>
      <c r="WDA79" s="5"/>
      <c r="WDB79" s="5"/>
      <c r="WDC79" s="5"/>
      <c r="WDD79" s="5"/>
      <c r="WDE79" s="5"/>
      <c r="WDF79" s="5"/>
      <c r="WDG79" s="5"/>
      <c r="WDH79" s="5"/>
      <c r="WDI79" s="5"/>
      <c r="WDJ79" s="5"/>
      <c r="WDK79" s="5"/>
      <c r="WDL79" s="5"/>
      <c r="WDM79" s="5"/>
      <c r="WDN79" s="5"/>
      <c r="WDO79" s="5"/>
      <c r="WDP79" s="5"/>
      <c r="WDQ79" s="5"/>
      <c r="WDR79" s="5"/>
      <c r="WDS79" s="5"/>
      <c r="WDT79" s="5"/>
      <c r="WDU79" s="5"/>
      <c r="WDV79" s="5"/>
      <c r="WDW79" s="5"/>
      <c r="WDX79" s="5"/>
      <c r="WDY79" s="5"/>
      <c r="WDZ79" s="5"/>
      <c r="WEA79" s="5"/>
      <c r="WEB79" s="5"/>
      <c r="WEC79" s="5"/>
      <c r="WED79" s="5"/>
      <c r="WEE79" s="5"/>
      <c r="WEF79" s="5"/>
      <c r="WEG79" s="5"/>
      <c r="WEH79" s="5"/>
      <c r="WEI79" s="5"/>
      <c r="WEJ79" s="5"/>
      <c r="WEK79" s="5"/>
      <c r="WEL79" s="5"/>
      <c r="WEM79" s="5"/>
      <c r="WEN79" s="5"/>
      <c r="WEO79" s="5"/>
      <c r="WEP79" s="5"/>
      <c r="WEQ79" s="5"/>
      <c r="WER79" s="5"/>
      <c r="WES79" s="5"/>
      <c r="WET79" s="5"/>
      <c r="WEU79" s="5"/>
      <c r="WEV79" s="5"/>
      <c r="WEW79" s="5"/>
      <c r="WEX79" s="5"/>
      <c r="WEY79" s="5"/>
      <c r="WEZ79" s="5"/>
      <c r="WFA79" s="5"/>
      <c r="WFB79" s="5"/>
      <c r="WFC79" s="5"/>
      <c r="WFD79" s="5"/>
      <c r="WFE79" s="5"/>
      <c r="WFF79" s="5"/>
      <c r="WFG79" s="5"/>
      <c r="WFH79" s="5"/>
      <c r="WFI79" s="5"/>
      <c r="WFJ79" s="5"/>
      <c r="WFK79" s="5"/>
      <c r="WFL79" s="5"/>
      <c r="WFM79" s="5"/>
      <c r="WFN79" s="5"/>
      <c r="WFO79" s="5"/>
      <c r="WFP79" s="5"/>
      <c r="WFQ79" s="5"/>
      <c r="WFR79" s="5"/>
      <c r="WFS79" s="5"/>
      <c r="WFT79" s="5"/>
      <c r="WFU79" s="5"/>
      <c r="WFV79" s="5"/>
      <c r="WFW79" s="5"/>
      <c r="WFX79" s="5"/>
      <c r="WFY79" s="5"/>
      <c r="WFZ79" s="5"/>
      <c r="WGA79" s="5"/>
      <c r="WGB79" s="5"/>
      <c r="WGC79" s="5"/>
      <c r="WGD79" s="5"/>
      <c r="WGE79" s="5"/>
      <c r="WGF79" s="5"/>
      <c r="WGG79" s="5"/>
      <c r="WGH79" s="5"/>
      <c r="WGI79" s="5"/>
      <c r="WGJ79" s="5"/>
      <c r="WGK79" s="5"/>
      <c r="WGL79" s="5"/>
      <c r="WGM79" s="5"/>
      <c r="WGN79" s="5"/>
      <c r="WGO79" s="5"/>
      <c r="WGP79" s="5"/>
      <c r="WGQ79" s="5"/>
      <c r="WGR79" s="5"/>
      <c r="WGS79" s="5"/>
      <c r="WGT79" s="5"/>
      <c r="WGU79" s="5"/>
      <c r="WGV79" s="5"/>
      <c r="WGW79" s="5"/>
      <c r="WGX79" s="5"/>
      <c r="WGY79" s="5"/>
      <c r="WGZ79" s="5"/>
      <c r="WHA79" s="5"/>
      <c r="WHB79" s="5"/>
      <c r="WHC79" s="5"/>
      <c r="WHD79" s="5"/>
      <c r="WHE79" s="5"/>
      <c r="WHF79" s="5"/>
      <c r="WHG79" s="5"/>
      <c r="WHH79" s="5"/>
      <c r="WHI79" s="5"/>
      <c r="WHJ79" s="5"/>
      <c r="WHK79" s="5"/>
      <c r="WHL79" s="5"/>
      <c r="WHM79" s="5"/>
      <c r="WHN79" s="5"/>
      <c r="WHO79" s="5"/>
      <c r="WHP79" s="5"/>
      <c r="WHQ79" s="5"/>
      <c r="WHR79" s="5"/>
      <c r="WHS79" s="5"/>
      <c r="WHT79" s="5"/>
      <c r="WHU79" s="5"/>
      <c r="WHV79" s="5"/>
      <c r="WHW79" s="5"/>
      <c r="WHX79" s="5"/>
      <c r="WHY79" s="5"/>
      <c r="WHZ79" s="5"/>
      <c r="WIA79" s="5"/>
      <c r="WIB79" s="5"/>
      <c r="WIC79" s="5"/>
      <c r="WID79" s="5"/>
      <c r="WIE79" s="5"/>
      <c r="WIF79" s="5"/>
      <c r="WIG79" s="5"/>
      <c r="WIH79" s="5"/>
      <c r="WII79" s="5"/>
      <c r="WIJ79" s="5"/>
      <c r="WIK79" s="5"/>
      <c r="WIL79" s="5"/>
      <c r="WIM79" s="5"/>
      <c r="WIN79" s="5"/>
      <c r="WIO79" s="5"/>
      <c r="WIP79" s="5"/>
      <c r="WIQ79" s="5"/>
      <c r="WIR79" s="5"/>
      <c r="WIS79" s="5"/>
      <c r="WIT79" s="5"/>
      <c r="WIU79" s="5"/>
      <c r="WIV79" s="5"/>
      <c r="WIW79" s="5"/>
      <c r="WIX79" s="5"/>
      <c r="WIY79" s="5"/>
      <c r="WIZ79" s="5"/>
      <c r="WJA79" s="5"/>
      <c r="WJB79" s="5"/>
      <c r="WJC79" s="5"/>
      <c r="WJD79" s="5"/>
      <c r="WJE79" s="5"/>
      <c r="WJF79" s="5"/>
      <c r="WJG79" s="5"/>
      <c r="WJH79" s="5"/>
      <c r="WJI79" s="5"/>
      <c r="WJJ79" s="5"/>
      <c r="WJK79" s="5"/>
      <c r="WJL79" s="5"/>
      <c r="WJM79" s="5"/>
      <c r="WJN79" s="5"/>
      <c r="WJO79" s="5"/>
      <c r="WJP79" s="5"/>
      <c r="WJQ79" s="5"/>
      <c r="WJR79" s="5"/>
      <c r="WJS79" s="5"/>
      <c r="WJT79" s="5"/>
      <c r="WJU79" s="5"/>
      <c r="WJV79" s="5"/>
      <c r="WJW79" s="5"/>
      <c r="WJX79" s="5"/>
      <c r="WJY79" s="5"/>
      <c r="WJZ79" s="5"/>
      <c r="WKA79" s="5"/>
      <c r="WKB79" s="5"/>
      <c r="WKC79" s="5"/>
      <c r="WKD79" s="5"/>
      <c r="WKE79" s="5"/>
      <c r="WKF79" s="5"/>
      <c r="WKG79" s="5"/>
      <c r="WKH79" s="5"/>
      <c r="WKI79" s="5"/>
      <c r="WKJ79" s="5"/>
      <c r="WKK79" s="5"/>
      <c r="WKL79" s="5"/>
      <c r="WKM79" s="5"/>
      <c r="WKN79" s="5"/>
      <c r="WKO79" s="5"/>
      <c r="WKP79" s="5"/>
      <c r="WKQ79" s="5"/>
      <c r="WKR79" s="5"/>
      <c r="WKS79" s="5"/>
      <c r="WKT79" s="5"/>
      <c r="WKU79" s="5"/>
      <c r="WKV79" s="5"/>
      <c r="WKW79" s="5"/>
      <c r="WKX79" s="5"/>
      <c r="WKY79" s="5"/>
      <c r="WKZ79" s="5"/>
      <c r="WLA79" s="5"/>
      <c r="WLB79" s="5"/>
      <c r="WLC79" s="5"/>
      <c r="WLD79" s="5"/>
      <c r="WLE79" s="5"/>
      <c r="WLF79" s="5"/>
      <c r="WLG79" s="5"/>
      <c r="WLH79" s="5"/>
      <c r="WLI79" s="5"/>
      <c r="WLJ79" s="5"/>
      <c r="WLK79" s="5"/>
      <c r="WLL79" s="5"/>
      <c r="WLM79" s="5"/>
      <c r="WLN79" s="5"/>
      <c r="WLO79" s="5"/>
      <c r="WLP79" s="5"/>
      <c r="WLQ79" s="5"/>
      <c r="WLR79" s="5"/>
      <c r="WLS79" s="5"/>
      <c r="WLT79" s="5"/>
      <c r="WLU79" s="5"/>
      <c r="WLV79" s="5"/>
      <c r="WLW79" s="5"/>
      <c r="WLX79" s="5"/>
      <c r="WLY79" s="5"/>
      <c r="WLZ79" s="5"/>
      <c r="WMA79" s="5"/>
      <c r="WMB79" s="5"/>
      <c r="WMC79" s="5"/>
      <c r="WMD79" s="5"/>
      <c r="WME79" s="5"/>
      <c r="WMF79" s="5"/>
      <c r="WMG79" s="5"/>
      <c r="WMH79" s="5"/>
      <c r="WMI79" s="5"/>
      <c r="WMJ79" s="5"/>
      <c r="WMK79" s="5"/>
      <c r="WML79" s="5"/>
      <c r="WMM79" s="5"/>
      <c r="WMN79" s="5"/>
      <c r="WMO79" s="5"/>
      <c r="WMP79" s="5"/>
      <c r="WMQ79" s="5"/>
      <c r="WMR79" s="5"/>
      <c r="WMS79" s="5"/>
      <c r="WMT79" s="5"/>
      <c r="WMU79" s="5"/>
      <c r="WMV79" s="5"/>
      <c r="WMW79" s="5"/>
      <c r="WMX79" s="5"/>
      <c r="WMY79" s="5"/>
      <c r="WMZ79" s="5"/>
      <c r="WNA79" s="5"/>
      <c r="WNB79" s="5"/>
      <c r="WNC79" s="5"/>
      <c r="WND79" s="5"/>
      <c r="WNE79" s="5"/>
      <c r="WNF79" s="5"/>
      <c r="WNG79" s="5"/>
      <c r="WNH79" s="5"/>
      <c r="WNI79" s="5"/>
      <c r="WNJ79" s="5"/>
      <c r="WNK79" s="5"/>
      <c r="WNL79" s="5"/>
      <c r="WNM79" s="5"/>
      <c r="WNN79" s="5"/>
      <c r="WNO79" s="5"/>
      <c r="WNP79" s="5"/>
      <c r="WNQ79" s="5"/>
      <c r="WNR79" s="5"/>
      <c r="WNS79" s="5"/>
      <c r="WNT79" s="5"/>
      <c r="WNU79" s="5"/>
      <c r="WNV79" s="5"/>
      <c r="WNW79" s="5"/>
      <c r="WNX79" s="5"/>
      <c r="WNY79" s="5"/>
      <c r="WNZ79" s="5"/>
      <c r="WOA79" s="5"/>
      <c r="WOB79" s="5"/>
      <c r="WOC79" s="5"/>
      <c r="WOD79" s="5"/>
      <c r="WOE79" s="5"/>
      <c r="WOF79" s="5"/>
      <c r="WOG79" s="5"/>
      <c r="WOH79" s="5"/>
      <c r="WOI79" s="5"/>
      <c r="WOJ79" s="5"/>
      <c r="WOK79" s="5"/>
      <c r="WOL79" s="5"/>
      <c r="WOM79" s="5"/>
      <c r="WON79" s="5"/>
      <c r="WOO79" s="5"/>
      <c r="WOP79" s="5"/>
      <c r="WOQ79" s="5"/>
      <c r="WOR79" s="5"/>
      <c r="WOS79" s="5"/>
      <c r="WOT79" s="5"/>
      <c r="WOU79" s="5"/>
      <c r="WOV79" s="5"/>
      <c r="WOW79" s="5"/>
      <c r="WOX79" s="5"/>
      <c r="WOY79" s="5"/>
      <c r="WOZ79" s="5"/>
      <c r="WPA79" s="5"/>
      <c r="WPB79" s="5"/>
      <c r="WPC79" s="5"/>
      <c r="WPD79" s="5"/>
      <c r="WPE79" s="5"/>
      <c r="WPF79" s="5"/>
      <c r="WPG79" s="5"/>
      <c r="WPH79" s="5"/>
      <c r="WPI79" s="5"/>
      <c r="WPJ79" s="5"/>
      <c r="WPK79" s="5"/>
      <c r="WPL79" s="5"/>
      <c r="WPM79" s="5"/>
      <c r="WPN79" s="5"/>
      <c r="WPO79" s="5"/>
      <c r="WPP79" s="5"/>
      <c r="WPQ79" s="5"/>
      <c r="WPR79" s="5"/>
      <c r="WPS79" s="5"/>
      <c r="WPT79" s="5"/>
      <c r="WPU79" s="5"/>
      <c r="WPV79" s="5"/>
      <c r="WPW79" s="5"/>
      <c r="WPX79" s="5"/>
      <c r="WPY79" s="5"/>
      <c r="WPZ79" s="5"/>
      <c r="WQA79" s="5"/>
      <c r="WQB79" s="5"/>
      <c r="WQC79" s="5"/>
      <c r="WQD79" s="5"/>
      <c r="WQE79" s="5"/>
      <c r="WQF79" s="5"/>
      <c r="WQG79" s="5"/>
      <c r="WQH79" s="5"/>
      <c r="WQI79" s="5"/>
      <c r="WQJ79" s="5"/>
      <c r="WQK79" s="5"/>
      <c r="WQL79" s="5"/>
      <c r="WQM79" s="5"/>
      <c r="WQN79" s="5"/>
      <c r="WQO79" s="5"/>
      <c r="WQP79" s="5"/>
      <c r="WQQ79" s="5"/>
      <c r="WQR79" s="5"/>
      <c r="WQS79" s="5"/>
      <c r="WQT79" s="5"/>
      <c r="WQU79" s="5"/>
      <c r="WQV79" s="5"/>
      <c r="WQW79" s="5"/>
      <c r="WQX79" s="5"/>
      <c r="WQY79" s="5"/>
      <c r="WQZ79" s="5"/>
      <c r="WRA79" s="5"/>
      <c r="WRB79" s="5"/>
      <c r="WRC79" s="5"/>
      <c r="WRD79" s="5"/>
      <c r="WRE79" s="5"/>
      <c r="WRF79" s="5"/>
      <c r="WRG79" s="5"/>
      <c r="WRH79" s="5"/>
      <c r="WRI79" s="5"/>
      <c r="WRJ79" s="5"/>
      <c r="WRK79" s="5"/>
      <c r="WRL79" s="5"/>
      <c r="WRM79" s="5"/>
      <c r="WRN79" s="5"/>
      <c r="WRO79" s="5"/>
      <c r="WRP79" s="5"/>
      <c r="WRQ79" s="5"/>
      <c r="WRR79" s="5"/>
      <c r="WRS79" s="5"/>
      <c r="WRT79" s="5"/>
      <c r="WRU79" s="5"/>
      <c r="WRV79" s="5"/>
      <c r="WRW79" s="5"/>
      <c r="WRX79" s="5"/>
      <c r="WRY79" s="5"/>
      <c r="WRZ79" s="5"/>
      <c r="WSA79" s="5"/>
      <c r="WSB79" s="5"/>
      <c r="WSC79" s="5"/>
      <c r="WSD79" s="5"/>
      <c r="WSE79" s="5"/>
      <c r="WSF79" s="5"/>
      <c r="WSG79" s="5"/>
      <c r="WSH79" s="5"/>
      <c r="WSI79" s="5"/>
      <c r="WSJ79" s="5"/>
      <c r="WSK79" s="5"/>
      <c r="WSL79" s="5"/>
      <c r="WSM79" s="5"/>
      <c r="WSN79" s="5"/>
      <c r="WSO79" s="5"/>
      <c r="WSP79" s="5"/>
      <c r="WSQ79" s="5"/>
      <c r="WSR79" s="5"/>
      <c r="WSS79" s="5"/>
      <c r="WST79" s="5"/>
      <c r="WSU79" s="5"/>
      <c r="WSV79" s="5"/>
      <c r="WSW79" s="5"/>
      <c r="WSX79" s="5"/>
      <c r="WSY79" s="5"/>
      <c r="WSZ79" s="5"/>
      <c r="WTA79" s="5"/>
      <c r="WTB79" s="5"/>
      <c r="WTC79" s="5"/>
      <c r="WTD79" s="5"/>
      <c r="WTE79" s="5"/>
      <c r="WTF79" s="5"/>
      <c r="WTG79" s="5"/>
      <c r="WTH79" s="5"/>
      <c r="WTI79" s="5"/>
      <c r="WTJ79" s="5"/>
      <c r="WTK79" s="5"/>
      <c r="WTL79" s="5"/>
      <c r="WTM79" s="5"/>
      <c r="WTN79" s="5"/>
      <c r="WTO79" s="5"/>
      <c r="WTP79" s="5"/>
      <c r="WTQ79" s="5"/>
      <c r="WTR79" s="5"/>
      <c r="WTS79" s="5"/>
      <c r="WTT79" s="5"/>
      <c r="WTU79" s="5"/>
      <c r="WTV79" s="5"/>
      <c r="WTW79" s="5"/>
      <c r="WTX79" s="5"/>
      <c r="WTY79" s="5"/>
      <c r="WTZ79" s="5"/>
      <c r="WUA79" s="5"/>
      <c r="WUB79" s="5"/>
      <c r="WUC79" s="5"/>
      <c r="WUD79" s="5"/>
      <c r="WUE79" s="5"/>
      <c r="WUF79" s="5"/>
      <c r="WUG79" s="5"/>
      <c r="WUH79" s="5"/>
      <c r="WUI79" s="5"/>
      <c r="WUJ79" s="5"/>
      <c r="WUK79" s="5"/>
      <c r="WUL79" s="5"/>
      <c r="WUM79" s="5"/>
      <c r="WUN79" s="5"/>
      <c r="WUO79" s="5"/>
      <c r="WUP79" s="5"/>
      <c r="WUQ79" s="5"/>
      <c r="WUR79" s="5"/>
      <c r="WUS79" s="5"/>
      <c r="WUT79" s="5"/>
      <c r="WUU79" s="5"/>
      <c r="WUV79" s="5"/>
      <c r="WUW79" s="5"/>
      <c r="WUX79" s="5"/>
      <c r="WUY79" s="5"/>
      <c r="WUZ79" s="5"/>
      <c r="WVA79" s="5"/>
      <c r="WVB79" s="5"/>
      <c r="WVC79" s="5"/>
      <c r="WVD79" s="5"/>
      <c r="WVE79" s="5"/>
      <c r="WVF79" s="5"/>
      <c r="WVG79" s="5"/>
      <c r="WVH79" s="5"/>
      <c r="WVI79" s="5"/>
      <c r="WVJ79" s="5"/>
      <c r="WVK79" s="5"/>
      <c r="WVL79" s="5"/>
      <c r="WVM79" s="5"/>
      <c r="WVN79" s="5"/>
      <c r="WVO79" s="5"/>
      <c r="WVP79" s="5"/>
      <c r="WVQ79" s="5"/>
      <c r="WVR79" s="5"/>
      <c r="WVS79" s="5"/>
      <c r="WVT79" s="5"/>
      <c r="WVU79" s="5"/>
      <c r="WVV79" s="5"/>
      <c r="WVW79" s="5"/>
      <c r="WVX79" s="5"/>
      <c r="WVY79" s="5"/>
      <c r="WVZ79" s="5"/>
      <c r="WWA79" s="5"/>
      <c r="WWB79" s="5"/>
      <c r="WWC79" s="5"/>
      <c r="WWD79" s="5"/>
      <c r="WWE79" s="5"/>
      <c r="WWF79" s="5"/>
      <c r="WWG79" s="5"/>
      <c r="WWH79" s="5"/>
      <c r="WWI79" s="5"/>
      <c r="WWJ79" s="5"/>
      <c r="WWK79" s="5"/>
      <c r="WWL79" s="5"/>
      <c r="WWM79" s="5"/>
      <c r="WWN79" s="5"/>
      <c r="WWO79" s="5"/>
      <c r="WWP79" s="5"/>
      <c r="WWQ79" s="5"/>
      <c r="WWR79" s="5"/>
      <c r="WWS79" s="5"/>
      <c r="WWT79" s="5"/>
      <c r="WWU79" s="5"/>
      <c r="WWV79" s="5"/>
      <c r="WWW79" s="5"/>
      <c r="WWX79" s="5"/>
      <c r="WWY79" s="5"/>
      <c r="WWZ79" s="5"/>
      <c r="WXA79" s="5"/>
      <c r="WXB79" s="5"/>
      <c r="WXC79" s="5"/>
      <c r="WXD79" s="5"/>
      <c r="WXE79" s="5"/>
      <c r="WXF79" s="5"/>
      <c r="WXG79" s="5"/>
      <c r="WXH79" s="5"/>
      <c r="WXI79" s="5"/>
      <c r="WXJ79" s="5"/>
      <c r="WXK79" s="5"/>
      <c r="WXL79" s="5"/>
      <c r="WXM79" s="5"/>
      <c r="WXN79" s="5"/>
      <c r="WXO79" s="5"/>
      <c r="WXP79" s="5"/>
      <c r="WXQ79" s="5"/>
      <c r="WXR79" s="5"/>
      <c r="WXS79" s="5"/>
      <c r="WXT79" s="5"/>
      <c r="WXU79" s="5"/>
      <c r="WXV79" s="5"/>
      <c r="WXW79" s="5"/>
      <c r="WXX79" s="5"/>
      <c r="WXY79" s="5"/>
      <c r="WXZ79" s="5"/>
      <c r="WYA79" s="5"/>
      <c r="WYB79" s="5"/>
      <c r="WYC79" s="5"/>
      <c r="WYD79" s="5"/>
      <c r="WYE79" s="5"/>
      <c r="WYF79" s="5"/>
      <c r="WYG79" s="5"/>
      <c r="WYH79" s="5"/>
      <c r="WYI79" s="5"/>
      <c r="WYJ79" s="5"/>
      <c r="WYK79" s="5"/>
      <c r="WYL79" s="5"/>
      <c r="WYM79" s="5"/>
      <c r="WYN79" s="5"/>
      <c r="WYO79" s="5"/>
      <c r="WYP79" s="5"/>
      <c r="WYQ79" s="5"/>
      <c r="WYR79" s="5"/>
      <c r="WYS79" s="5"/>
      <c r="WYT79" s="5"/>
      <c r="WYU79" s="5"/>
      <c r="WYV79" s="5"/>
      <c r="WYW79" s="5"/>
      <c r="WYX79" s="5"/>
      <c r="WYY79" s="5"/>
      <c r="WYZ79" s="5"/>
      <c r="WZA79" s="5"/>
      <c r="WZB79" s="5"/>
      <c r="WZC79" s="5"/>
      <c r="WZD79" s="5"/>
      <c r="WZE79" s="5"/>
      <c r="WZF79" s="5"/>
      <c r="WZG79" s="5"/>
      <c r="WZH79" s="5"/>
      <c r="WZI79" s="5"/>
      <c r="WZJ79" s="5"/>
      <c r="WZK79" s="5"/>
      <c r="WZL79" s="5"/>
      <c r="WZM79" s="5"/>
      <c r="WZN79" s="5"/>
      <c r="WZO79" s="5"/>
      <c r="WZP79" s="5"/>
      <c r="WZQ79" s="5"/>
      <c r="WZR79" s="5"/>
      <c r="WZS79" s="5"/>
      <c r="WZT79" s="5"/>
      <c r="WZU79" s="5"/>
      <c r="WZV79" s="5"/>
      <c r="WZW79" s="5"/>
      <c r="WZX79" s="5"/>
      <c r="WZY79" s="5"/>
      <c r="WZZ79" s="5"/>
      <c r="XAA79" s="5"/>
      <c r="XAB79" s="5"/>
      <c r="XAC79" s="5"/>
      <c r="XAD79" s="5"/>
      <c r="XAE79" s="5"/>
      <c r="XAF79" s="5"/>
      <c r="XAG79" s="5"/>
      <c r="XAH79" s="5"/>
      <c r="XAI79" s="5"/>
      <c r="XAJ79" s="5"/>
      <c r="XAK79" s="5"/>
      <c r="XAL79" s="5"/>
      <c r="XAM79" s="5"/>
      <c r="XAN79" s="5"/>
      <c r="XAO79" s="5"/>
      <c r="XAP79" s="5"/>
      <c r="XAQ79" s="5"/>
      <c r="XAR79" s="5"/>
      <c r="XAS79" s="5"/>
      <c r="XAT79" s="5"/>
      <c r="XAU79" s="5"/>
      <c r="XAV79" s="5"/>
      <c r="XAW79" s="5"/>
      <c r="XAX79" s="5"/>
      <c r="XAY79" s="5"/>
      <c r="XAZ79" s="5"/>
      <c r="XBA79" s="5"/>
      <c r="XBB79" s="5"/>
      <c r="XBC79" s="5"/>
      <c r="XBD79" s="5"/>
      <c r="XBE79" s="5"/>
      <c r="XBF79" s="5"/>
      <c r="XBG79" s="5"/>
      <c r="XBH79" s="5"/>
      <c r="XBI79" s="5"/>
      <c r="XBJ79" s="5"/>
      <c r="XBK79" s="5"/>
      <c r="XBL79" s="5"/>
      <c r="XBM79" s="5"/>
      <c r="XBN79" s="5"/>
      <c r="XBO79" s="5"/>
      <c r="XBP79" s="5"/>
      <c r="XBQ79" s="5"/>
      <c r="XBR79" s="5"/>
      <c r="XBS79" s="5"/>
      <c r="XBT79" s="5"/>
      <c r="XBU79" s="5"/>
      <c r="XBV79" s="5"/>
      <c r="XBW79" s="5"/>
      <c r="XBX79" s="5"/>
      <c r="XBY79" s="5"/>
      <c r="XBZ79" s="5"/>
      <c r="XCA79" s="5"/>
      <c r="XCB79" s="5"/>
      <c r="XCC79" s="5"/>
      <c r="XCD79" s="5"/>
      <c r="XCE79" s="5"/>
      <c r="XCF79" s="5"/>
      <c r="XCG79" s="5"/>
      <c r="XCH79" s="5"/>
      <c r="XCI79" s="5"/>
      <c r="XCJ79" s="5"/>
      <c r="XCK79" s="5"/>
      <c r="XCL79" s="5"/>
      <c r="XCM79" s="5"/>
      <c r="XCN79" s="5"/>
      <c r="XCO79" s="5"/>
      <c r="XCP79" s="5"/>
      <c r="XCQ79" s="5"/>
      <c r="XCR79" s="5"/>
      <c r="XCS79" s="5"/>
      <c r="XCT79" s="5"/>
      <c r="XCU79" s="5"/>
      <c r="XCV79" s="5"/>
      <c r="XCW79" s="5"/>
      <c r="XCX79" s="5"/>
      <c r="XCY79" s="5"/>
      <c r="XCZ79" s="5"/>
      <c r="XDA79" s="5"/>
      <c r="XDB79" s="5"/>
      <c r="XDC79" s="5"/>
      <c r="XDD79" s="5"/>
      <c r="XDE79" s="5"/>
      <c r="XDF79" s="5"/>
      <c r="XDG79" s="5"/>
      <c r="XDH79" s="5"/>
      <c r="XDI79" s="5"/>
      <c r="XDJ79" s="5"/>
      <c r="XDK79" s="5"/>
      <c r="XDL79" s="5"/>
      <c r="XDM79" s="5"/>
      <c r="XDN79" s="5"/>
      <c r="XDO79" s="5"/>
      <c r="XDP79" s="5"/>
      <c r="XDQ79" s="5"/>
      <c r="XDR79" s="5"/>
      <c r="XDS79" s="5"/>
      <c r="XDT79" s="5"/>
      <c r="XDU79" s="5"/>
      <c r="XDV79" s="5"/>
      <c r="XDW79" s="5"/>
      <c r="XDX79" s="5"/>
      <c r="XDY79" s="5"/>
      <c r="XDZ79" s="5"/>
      <c r="XEA79" s="5"/>
      <c r="XEB79" s="5"/>
      <c r="XEC79" s="5"/>
      <c r="XED79" s="5"/>
      <c r="XEE79" s="5"/>
      <c r="XEF79" s="5"/>
      <c r="XEG79" s="5"/>
      <c r="XEH79" s="5"/>
      <c r="XEI79" s="5"/>
      <c r="XEJ79" s="5"/>
      <c r="XEK79" s="5"/>
      <c r="XEL79" s="5"/>
      <c r="XEM79" s="5"/>
      <c r="XEN79" s="5"/>
      <c r="XEO79" s="5"/>
      <c r="XEP79" s="5"/>
      <c r="XEQ79" s="5"/>
      <c r="XER79" s="5"/>
      <c r="XES79" s="5"/>
      <c r="XET79" s="5"/>
      <c r="XEU79" s="5"/>
      <c r="XEV79" s="5"/>
      <c r="XEW79" s="5"/>
      <c r="XEX79" s="5"/>
      <c r="XEY79" s="5"/>
      <c r="XEZ79" s="5"/>
      <c r="XFA79" s="5"/>
      <c r="XFB79" s="5"/>
      <c r="XFC79" s="5"/>
    </row>
    <row r="80" spans="1:16383" x14ac:dyDescent="0.35">
      <c r="B80" s="6" t="s">
        <v>60</v>
      </c>
      <c r="K80" s="11">
        <f>K76+K77-K78-K79</f>
        <v>7072819315761.8574</v>
      </c>
      <c r="L80" s="11">
        <f t="shared" ref="L80:O80" si="48">L76+L77-L78-L79</f>
        <v>7257526388925.3984</v>
      </c>
      <c r="M80" s="11">
        <f t="shared" si="48"/>
        <v>5445960091941.4346</v>
      </c>
      <c r="N80" s="11">
        <f t="shared" si="48"/>
        <v>9233383080491.0117</v>
      </c>
      <c r="O80" s="11">
        <f t="shared" si="48"/>
        <v>6906892431663.0488</v>
      </c>
      <c r="P80" s="11">
        <f>P76+P77-P78-P79</f>
        <v>10303940242071.295</v>
      </c>
    </row>
    <row r="81" spans="1:16384" customFormat="1" x14ac:dyDescent="0.35">
      <c r="B81" t="s">
        <v>61</v>
      </c>
      <c r="K81">
        <v>0.11</v>
      </c>
      <c r="L81" s="77">
        <f>K81+1</f>
        <v>1.1100000000000001</v>
      </c>
      <c r="M81" s="77">
        <f>L81+1</f>
        <v>2.1100000000000003</v>
      </c>
      <c r="N81" s="77">
        <f t="shared" ref="N81:P81" si="49">M81+1</f>
        <v>3.1100000000000003</v>
      </c>
      <c r="O81" s="77">
        <f t="shared" si="49"/>
        <v>4.1100000000000003</v>
      </c>
      <c r="P81" s="77">
        <f t="shared" si="49"/>
        <v>5.1100000000000003</v>
      </c>
    </row>
    <row r="82" spans="1:16384" customFormat="1" x14ac:dyDescent="0.35">
      <c r="B82" t="s">
        <v>62</v>
      </c>
      <c r="K82" s="11">
        <f>K80/(1+$C$19)^K81</f>
        <v>7021820540284.6563</v>
      </c>
      <c r="L82" s="11">
        <f t="shared" ref="L82:P82" si="50">L80/(1+$C$19)^L81</f>
        <v>6746437993975.6182</v>
      </c>
      <c r="M82" s="11">
        <f t="shared" si="50"/>
        <v>4740117544094.3857</v>
      </c>
      <c r="N82" s="11">
        <f t="shared" si="50"/>
        <v>7524961085175.2803</v>
      </c>
      <c r="O82" s="11">
        <f t="shared" si="50"/>
        <v>5270536724164.1553</v>
      </c>
      <c r="P82" s="11">
        <f t="shared" si="50"/>
        <v>7362142682469.5361</v>
      </c>
    </row>
    <row r="83" spans="1:16384" customFormat="1" x14ac:dyDescent="0.35">
      <c r="B83" t="s">
        <v>63</v>
      </c>
      <c r="P83" s="11">
        <f>(P82*(1+$C$19))/($C$18-$C$19)</f>
        <v>205788861851802.38</v>
      </c>
    </row>
    <row r="84" spans="1:16384" s="5" customFormat="1" ht="15" thickBot="1" x14ac:dyDescent="0.4">
      <c r="A84"/>
      <c r="B84" s="5" t="s">
        <v>64</v>
      </c>
      <c r="P84" s="36">
        <f>P83/(1+$C$18)^P81</f>
        <v>122861542795763.83</v>
      </c>
    </row>
    <row r="85" spans="1:16384" customFormat="1" x14ac:dyDescent="0.35">
      <c r="B85" t="s">
        <v>65</v>
      </c>
      <c r="P85" s="11">
        <f>SUM(K82:P82)+P84</f>
        <v>161527559365927.47</v>
      </c>
    </row>
    <row r="86" spans="1:16384" customFormat="1" x14ac:dyDescent="0.35">
      <c r="B86" t="s">
        <v>66</v>
      </c>
      <c r="L86" s="11"/>
      <c r="M86" s="11"/>
      <c r="P86" s="37">
        <f>BS!E15</f>
        <v>4897331540730</v>
      </c>
    </row>
    <row r="87" spans="1:16384" s="5" customFormat="1" ht="15" thickBot="1" x14ac:dyDescent="0.4">
      <c r="A87"/>
      <c r="B87" s="5" t="s">
        <v>67</v>
      </c>
      <c r="P87" s="38">
        <f>BS!AF14+BS!AH15</f>
        <v>33285496721779</v>
      </c>
    </row>
    <row r="88" spans="1:16384" customFormat="1" x14ac:dyDescent="0.35">
      <c r="B88" s="6" t="s">
        <v>68</v>
      </c>
      <c r="P88" s="11">
        <f>P85+P86-P87</f>
        <v>133139394184878.47</v>
      </c>
    </row>
    <row r="89" spans="1:16384" s="5" customFormat="1" ht="15" thickBot="1" x14ac:dyDescent="0.4">
      <c r="A89"/>
      <c r="B89" s="5" t="s">
        <v>69</v>
      </c>
      <c r="J89" s="38">
        <v>1461484209</v>
      </c>
      <c r="P89" s="36">
        <f>P88/J89</f>
        <v>91098.756568828903</v>
      </c>
    </row>
    <row r="90" spans="1:16384" customFormat="1" x14ac:dyDescent="0.35">
      <c r="B90" s="6" t="s">
        <v>42</v>
      </c>
    </row>
    <row r="92" spans="1:16384" s="134" customFormat="1" x14ac:dyDescent="0.35">
      <c r="A92"/>
      <c r="B92" s="133" t="s">
        <v>167</v>
      </c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3"/>
      <c r="BY92" s="133"/>
      <c r="BZ92" s="133"/>
      <c r="CA92" s="133"/>
      <c r="CB92" s="133"/>
      <c r="CC92" s="133"/>
      <c r="CD92" s="133"/>
      <c r="CE92" s="133"/>
      <c r="CF92" s="133"/>
      <c r="CG92" s="133"/>
      <c r="CH92" s="133"/>
      <c r="CI92" s="133"/>
      <c r="CJ92" s="133"/>
      <c r="CK92" s="133"/>
      <c r="CL92" s="133"/>
      <c r="CM92" s="133"/>
      <c r="CN92" s="133"/>
      <c r="CO92" s="133"/>
      <c r="CP92" s="133"/>
      <c r="CQ92" s="133"/>
      <c r="CR92" s="133"/>
      <c r="CS92" s="133"/>
      <c r="CT92" s="133"/>
      <c r="CU92" s="133"/>
      <c r="CV92" s="133"/>
      <c r="CW92" s="133"/>
      <c r="CX92" s="133"/>
      <c r="CY92" s="133"/>
      <c r="CZ92" s="133"/>
      <c r="DA92" s="133"/>
      <c r="DB92" s="133"/>
      <c r="DC92" s="133"/>
      <c r="DD92" s="133"/>
      <c r="DE92" s="133"/>
      <c r="DF92" s="133"/>
      <c r="DG92" s="133"/>
      <c r="DH92" s="133"/>
      <c r="DI92" s="133"/>
      <c r="DJ92" s="133"/>
      <c r="DK92" s="133"/>
      <c r="DL92" s="133"/>
      <c r="DM92" s="133"/>
      <c r="DN92" s="133"/>
      <c r="DO92" s="133"/>
      <c r="DP92" s="133"/>
      <c r="DQ92" s="133"/>
      <c r="DR92" s="133"/>
      <c r="DS92" s="133"/>
      <c r="DT92" s="133"/>
      <c r="DU92" s="133"/>
      <c r="DV92" s="133"/>
      <c r="DW92" s="133"/>
      <c r="DX92" s="133"/>
      <c r="DY92" s="133"/>
      <c r="DZ92" s="133"/>
      <c r="EA92" s="133"/>
      <c r="EB92" s="133"/>
      <c r="EC92" s="133"/>
      <c r="ED92" s="133"/>
      <c r="EE92" s="133"/>
      <c r="EF92" s="133"/>
      <c r="EG92" s="133"/>
      <c r="EH92" s="133"/>
      <c r="EI92" s="133"/>
      <c r="EJ92" s="133"/>
      <c r="EK92" s="133"/>
      <c r="EL92" s="133"/>
      <c r="EM92" s="133"/>
      <c r="EN92" s="133"/>
      <c r="EO92" s="133"/>
      <c r="EP92" s="133"/>
      <c r="EQ92" s="133"/>
      <c r="ER92" s="133"/>
      <c r="ES92" s="133"/>
      <c r="ET92" s="133"/>
      <c r="EU92" s="133"/>
      <c r="EV92" s="133"/>
      <c r="EW92" s="133"/>
      <c r="EX92" s="133"/>
      <c r="EY92" s="133"/>
      <c r="EZ92" s="133"/>
      <c r="FA92" s="133"/>
      <c r="FB92" s="133"/>
      <c r="FC92" s="133"/>
      <c r="FD92" s="133"/>
      <c r="FE92" s="133"/>
      <c r="FF92" s="133"/>
      <c r="FG92" s="133"/>
      <c r="FH92" s="133"/>
      <c r="FI92" s="133"/>
      <c r="FJ92" s="133"/>
      <c r="FK92" s="133"/>
      <c r="FL92" s="133"/>
      <c r="FM92" s="133"/>
      <c r="FN92" s="133"/>
      <c r="FO92" s="133"/>
      <c r="FP92" s="133"/>
      <c r="FQ92" s="133"/>
      <c r="FR92" s="133"/>
      <c r="FS92" s="133"/>
      <c r="FT92" s="133"/>
      <c r="FU92" s="133"/>
      <c r="FV92" s="133"/>
      <c r="FW92" s="133"/>
      <c r="FX92" s="133"/>
      <c r="FY92" s="133"/>
      <c r="FZ92" s="133"/>
      <c r="GA92" s="133"/>
      <c r="GB92" s="133"/>
      <c r="GC92" s="133"/>
      <c r="GD92" s="133"/>
      <c r="GE92" s="133"/>
      <c r="GF92" s="133"/>
      <c r="GG92" s="133"/>
      <c r="GH92" s="133"/>
      <c r="GI92" s="133"/>
      <c r="GJ92" s="133"/>
      <c r="GK92" s="133"/>
      <c r="GL92" s="133"/>
      <c r="GM92" s="133"/>
      <c r="GN92" s="133"/>
      <c r="GO92" s="133"/>
      <c r="GP92" s="133"/>
      <c r="GQ92" s="133"/>
      <c r="GR92" s="133"/>
      <c r="GS92" s="133"/>
      <c r="GT92" s="133"/>
      <c r="GU92" s="133"/>
      <c r="GV92" s="133"/>
      <c r="GW92" s="133"/>
      <c r="GX92" s="133"/>
      <c r="GY92" s="133"/>
      <c r="GZ92" s="133"/>
      <c r="HA92" s="133"/>
      <c r="HB92" s="133"/>
      <c r="HC92" s="133"/>
      <c r="HD92" s="133"/>
      <c r="HE92" s="133"/>
      <c r="HF92" s="133"/>
      <c r="HG92" s="133"/>
      <c r="HH92" s="133"/>
      <c r="HI92" s="133"/>
      <c r="HJ92" s="133"/>
      <c r="HK92" s="133"/>
      <c r="HL92" s="133"/>
      <c r="HM92" s="133"/>
      <c r="HN92" s="133"/>
      <c r="HO92" s="133"/>
      <c r="HP92" s="133"/>
      <c r="HQ92" s="133"/>
      <c r="HR92" s="133"/>
      <c r="HS92" s="133"/>
      <c r="HT92" s="133"/>
      <c r="HU92" s="133"/>
      <c r="HV92" s="133"/>
      <c r="HW92" s="133"/>
      <c r="HX92" s="133"/>
      <c r="HY92" s="133"/>
      <c r="HZ92" s="133"/>
      <c r="IA92" s="133"/>
      <c r="IB92" s="133"/>
      <c r="IC92" s="133"/>
      <c r="ID92" s="133"/>
      <c r="IE92" s="133"/>
      <c r="IF92" s="133"/>
      <c r="IG92" s="133"/>
      <c r="IH92" s="133"/>
      <c r="II92" s="133"/>
      <c r="IJ92" s="133"/>
      <c r="IK92" s="133"/>
      <c r="IL92" s="133"/>
      <c r="IM92" s="133"/>
      <c r="IN92" s="133"/>
      <c r="IO92" s="133"/>
      <c r="IP92" s="133"/>
      <c r="IQ92" s="133"/>
      <c r="IR92" s="133"/>
      <c r="IS92" s="133"/>
      <c r="IT92" s="133"/>
      <c r="IU92" s="133"/>
      <c r="IV92" s="133"/>
      <c r="IW92" s="133"/>
      <c r="IX92" s="133"/>
      <c r="IY92" s="133"/>
      <c r="IZ92" s="133"/>
      <c r="JA92" s="133"/>
      <c r="JB92" s="133"/>
      <c r="JC92" s="133"/>
      <c r="JD92" s="133"/>
      <c r="JE92" s="133"/>
      <c r="JF92" s="133"/>
      <c r="JG92" s="133"/>
      <c r="JH92" s="133"/>
      <c r="JI92" s="133"/>
      <c r="JJ92" s="133"/>
      <c r="JK92" s="133"/>
      <c r="JL92" s="133"/>
      <c r="JM92" s="133"/>
      <c r="JN92" s="133"/>
      <c r="JO92" s="133"/>
      <c r="JP92" s="133"/>
      <c r="JQ92" s="133"/>
      <c r="JR92" s="133"/>
      <c r="JS92" s="133"/>
      <c r="JT92" s="133"/>
      <c r="JU92" s="133"/>
      <c r="JV92" s="133"/>
      <c r="JW92" s="133"/>
      <c r="JX92" s="133"/>
      <c r="JY92" s="133"/>
      <c r="JZ92" s="133"/>
      <c r="KA92" s="133"/>
      <c r="KB92" s="133"/>
      <c r="KC92" s="133"/>
      <c r="KD92" s="133"/>
      <c r="KE92" s="133"/>
      <c r="KF92" s="133"/>
      <c r="KG92" s="133"/>
      <c r="KH92" s="133"/>
      <c r="KI92" s="133"/>
      <c r="KJ92" s="133"/>
      <c r="KK92" s="133"/>
      <c r="KL92" s="133"/>
      <c r="KM92" s="133"/>
      <c r="KN92" s="133"/>
      <c r="KO92" s="133"/>
      <c r="KP92" s="133"/>
      <c r="KQ92" s="133"/>
      <c r="KR92" s="133"/>
      <c r="KS92" s="133"/>
      <c r="KT92" s="133"/>
      <c r="KU92" s="133"/>
      <c r="KV92" s="133"/>
      <c r="KW92" s="133"/>
      <c r="KX92" s="133"/>
      <c r="KY92" s="133"/>
      <c r="KZ92" s="133"/>
      <c r="LA92" s="133"/>
      <c r="LB92" s="133"/>
      <c r="LC92" s="133"/>
      <c r="LD92" s="133"/>
      <c r="LE92" s="133"/>
      <c r="LF92" s="133"/>
      <c r="LG92" s="133"/>
      <c r="LH92" s="133"/>
      <c r="LI92" s="133"/>
      <c r="LJ92" s="133"/>
      <c r="LK92" s="133"/>
      <c r="LL92" s="133"/>
      <c r="LM92" s="133"/>
      <c r="LN92" s="133"/>
      <c r="LO92" s="133"/>
      <c r="LP92" s="133"/>
      <c r="LQ92" s="133"/>
      <c r="LR92" s="133"/>
      <c r="LS92" s="133"/>
      <c r="LT92" s="133"/>
      <c r="LU92" s="133"/>
      <c r="LV92" s="133"/>
      <c r="LW92" s="133"/>
      <c r="LX92" s="133"/>
      <c r="LY92" s="133"/>
      <c r="LZ92" s="133"/>
      <c r="MA92" s="133"/>
      <c r="MB92" s="133"/>
      <c r="MC92" s="133"/>
      <c r="MD92" s="133"/>
      <c r="ME92" s="133"/>
      <c r="MF92" s="133"/>
      <c r="MG92" s="133"/>
      <c r="MH92" s="133"/>
      <c r="MI92" s="133"/>
      <c r="MJ92" s="133"/>
      <c r="MK92" s="133"/>
      <c r="ML92" s="133"/>
      <c r="MM92" s="133"/>
      <c r="MN92" s="133"/>
      <c r="MO92" s="133"/>
      <c r="MP92" s="133"/>
      <c r="MQ92" s="133"/>
      <c r="MR92" s="133"/>
      <c r="MS92" s="133"/>
      <c r="MT92" s="133"/>
      <c r="MU92" s="133"/>
      <c r="MV92" s="133"/>
      <c r="MW92" s="133"/>
      <c r="MX92" s="133"/>
      <c r="MY92" s="133"/>
      <c r="MZ92" s="133"/>
      <c r="NA92" s="133"/>
      <c r="NB92" s="133"/>
      <c r="NC92" s="133"/>
      <c r="ND92" s="133"/>
      <c r="NE92" s="133"/>
      <c r="NF92" s="133"/>
      <c r="NG92" s="133"/>
      <c r="NH92" s="133"/>
      <c r="NI92" s="133"/>
      <c r="NJ92" s="133"/>
      <c r="NK92" s="133"/>
      <c r="NL92" s="133"/>
      <c r="NM92" s="133"/>
      <c r="NN92" s="133"/>
      <c r="NO92" s="133"/>
      <c r="NP92" s="133"/>
      <c r="NQ92" s="133"/>
      <c r="NR92" s="133"/>
      <c r="NS92" s="133"/>
      <c r="NT92" s="133"/>
      <c r="NU92" s="133"/>
      <c r="NV92" s="133"/>
      <c r="NW92" s="133"/>
      <c r="NX92" s="133"/>
      <c r="NY92" s="133"/>
      <c r="NZ92" s="133"/>
      <c r="OA92" s="133"/>
      <c r="OB92" s="133"/>
      <c r="OC92" s="133"/>
      <c r="OD92" s="133"/>
      <c r="OE92" s="133"/>
      <c r="OF92" s="133"/>
      <c r="OG92" s="133"/>
      <c r="OH92" s="133"/>
      <c r="OI92" s="133"/>
      <c r="OJ92" s="133"/>
      <c r="OK92" s="133"/>
      <c r="OL92" s="133"/>
      <c r="OM92" s="133"/>
      <c r="ON92" s="133"/>
      <c r="OO92" s="133"/>
      <c r="OP92" s="133"/>
      <c r="OQ92" s="133"/>
      <c r="OR92" s="133"/>
      <c r="OS92" s="133"/>
      <c r="OT92" s="133"/>
      <c r="OU92" s="133"/>
      <c r="OV92" s="133"/>
      <c r="OW92" s="133"/>
      <c r="OX92" s="133"/>
      <c r="OY92" s="133"/>
      <c r="OZ92" s="133"/>
      <c r="PA92" s="133"/>
      <c r="PB92" s="133"/>
      <c r="PC92" s="133"/>
      <c r="PD92" s="133"/>
      <c r="PE92" s="133"/>
      <c r="PF92" s="133"/>
      <c r="PG92" s="133"/>
      <c r="PH92" s="133"/>
      <c r="PI92" s="133"/>
      <c r="PJ92" s="133"/>
      <c r="PK92" s="133"/>
      <c r="PL92" s="133"/>
      <c r="PM92" s="133"/>
      <c r="PN92" s="133"/>
      <c r="PO92" s="133"/>
      <c r="PP92" s="133"/>
      <c r="PQ92" s="133"/>
      <c r="PR92" s="133"/>
      <c r="PS92" s="133"/>
      <c r="PT92" s="133"/>
      <c r="PU92" s="133"/>
      <c r="PV92" s="133"/>
      <c r="PW92" s="133"/>
      <c r="PX92" s="133"/>
      <c r="PY92" s="133"/>
      <c r="PZ92" s="133"/>
      <c r="QA92" s="133"/>
      <c r="QB92" s="133"/>
      <c r="QC92" s="133"/>
      <c r="QD92" s="133"/>
      <c r="QE92" s="133"/>
      <c r="QF92" s="133"/>
      <c r="QG92" s="133"/>
      <c r="QH92" s="133"/>
      <c r="QI92" s="133"/>
      <c r="QJ92" s="133"/>
      <c r="QK92" s="133"/>
      <c r="QL92" s="133"/>
      <c r="QM92" s="133"/>
      <c r="QN92" s="133"/>
      <c r="QO92" s="133"/>
      <c r="QP92" s="133"/>
      <c r="QQ92" s="133"/>
      <c r="QR92" s="133"/>
      <c r="QS92" s="133"/>
      <c r="QT92" s="133"/>
      <c r="QU92" s="133"/>
      <c r="QV92" s="133"/>
      <c r="QW92" s="133"/>
      <c r="QX92" s="133"/>
      <c r="QY92" s="133"/>
      <c r="QZ92" s="133"/>
      <c r="RA92" s="133"/>
      <c r="RB92" s="133"/>
      <c r="RC92" s="133"/>
      <c r="RD92" s="133"/>
      <c r="RE92" s="133"/>
      <c r="RF92" s="133"/>
      <c r="RG92" s="133"/>
      <c r="RH92" s="133"/>
      <c r="RI92" s="133"/>
      <c r="RJ92" s="133"/>
      <c r="RK92" s="133"/>
      <c r="RL92" s="133"/>
      <c r="RM92" s="133"/>
      <c r="RN92" s="133"/>
      <c r="RO92" s="133"/>
      <c r="RP92" s="133"/>
      <c r="RQ92" s="133"/>
      <c r="RR92" s="133"/>
      <c r="RS92" s="133"/>
      <c r="RT92" s="133"/>
      <c r="RU92" s="133"/>
      <c r="RV92" s="133"/>
      <c r="RW92" s="133"/>
      <c r="RX92" s="133"/>
      <c r="RY92" s="133"/>
      <c r="RZ92" s="133"/>
      <c r="SA92" s="133"/>
      <c r="SB92" s="133"/>
      <c r="SC92" s="133"/>
      <c r="SD92" s="133"/>
      <c r="SE92" s="133"/>
      <c r="SF92" s="133"/>
      <c r="SG92" s="133"/>
      <c r="SH92" s="133"/>
      <c r="SI92" s="133"/>
      <c r="SJ92" s="133"/>
      <c r="SK92" s="133"/>
      <c r="SL92" s="133"/>
      <c r="SM92" s="133"/>
      <c r="SN92" s="133"/>
      <c r="SO92" s="133"/>
      <c r="SP92" s="133"/>
      <c r="SQ92" s="133"/>
      <c r="SR92" s="133"/>
      <c r="SS92" s="133"/>
      <c r="ST92" s="133"/>
      <c r="SU92" s="133"/>
      <c r="SV92" s="133"/>
      <c r="SW92" s="133"/>
      <c r="SX92" s="133"/>
      <c r="SY92" s="133"/>
      <c r="SZ92" s="133"/>
      <c r="TA92" s="133"/>
      <c r="TB92" s="133"/>
      <c r="TC92" s="133"/>
      <c r="TD92" s="133"/>
      <c r="TE92" s="133"/>
      <c r="TF92" s="133"/>
      <c r="TG92" s="133"/>
      <c r="TH92" s="133"/>
      <c r="TI92" s="133"/>
      <c r="TJ92" s="133"/>
      <c r="TK92" s="133"/>
      <c r="TL92" s="133"/>
      <c r="TM92" s="133"/>
      <c r="TN92" s="133"/>
      <c r="TO92" s="133"/>
      <c r="TP92" s="133"/>
      <c r="TQ92" s="133"/>
      <c r="TR92" s="133"/>
      <c r="TS92" s="133"/>
      <c r="TT92" s="133"/>
      <c r="TU92" s="133"/>
      <c r="TV92" s="133"/>
      <c r="TW92" s="133"/>
      <c r="TX92" s="133"/>
      <c r="TY92" s="133"/>
      <c r="TZ92" s="133"/>
      <c r="UA92" s="133"/>
      <c r="UB92" s="133"/>
      <c r="UC92" s="133"/>
      <c r="UD92" s="133"/>
      <c r="UE92" s="133"/>
      <c r="UF92" s="133"/>
      <c r="UG92" s="133"/>
      <c r="UH92" s="133"/>
      <c r="UI92" s="133"/>
      <c r="UJ92" s="133"/>
      <c r="UK92" s="133"/>
      <c r="UL92" s="133"/>
      <c r="UM92" s="133"/>
      <c r="UN92" s="133"/>
      <c r="UO92" s="133"/>
      <c r="UP92" s="133"/>
      <c r="UQ92" s="133"/>
      <c r="UR92" s="133"/>
      <c r="US92" s="133"/>
      <c r="UT92" s="133"/>
      <c r="UU92" s="133"/>
      <c r="UV92" s="133"/>
      <c r="UW92" s="133"/>
      <c r="UX92" s="133"/>
      <c r="UY92" s="133"/>
      <c r="UZ92" s="133"/>
      <c r="VA92" s="133"/>
      <c r="VB92" s="133"/>
      <c r="VC92" s="133"/>
      <c r="VD92" s="133"/>
      <c r="VE92" s="133"/>
      <c r="VF92" s="133"/>
      <c r="VG92" s="133"/>
      <c r="VH92" s="133"/>
      <c r="VI92" s="133"/>
      <c r="VJ92" s="133"/>
      <c r="VK92" s="133"/>
      <c r="VL92" s="133"/>
      <c r="VM92" s="133"/>
      <c r="VN92" s="133"/>
      <c r="VO92" s="133"/>
      <c r="VP92" s="133"/>
      <c r="VQ92" s="133"/>
      <c r="VR92" s="133"/>
      <c r="VS92" s="133"/>
      <c r="VT92" s="133"/>
      <c r="VU92" s="133"/>
      <c r="VV92" s="133"/>
      <c r="VW92" s="133"/>
      <c r="VX92" s="133"/>
      <c r="VY92" s="133"/>
      <c r="VZ92" s="133"/>
      <c r="WA92" s="133"/>
      <c r="WB92" s="133"/>
      <c r="WC92" s="133"/>
      <c r="WD92" s="133"/>
      <c r="WE92" s="133"/>
      <c r="WF92" s="133"/>
      <c r="WG92" s="133"/>
      <c r="WH92" s="133"/>
      <c r="WI92" s="133"/>
      <c r="WJ92" s="133"/>
      <c r="WK92" s="133"/>
      <c r="WL92" s="133"/>
      <c r="WM92" s="133"/>
      <c r="WN92" s="133"/>
      <c r="WO92" s="133"/>
      <c r="WP92" s="133"/>
      <c r="WQ92" s="133"/>
      <c r="WR92" s="133"/>
      <c r="WS92" s="133"/>
      <c r="WT92" s="133"/>
      <c r="WU92" s="133"/>
      <c r="WV92" s="133"/>
      <c r="WW92" s="133"/>
      <c r="WX92" s="133"/>
      <c r="WY92" s="133"/>
      <c r="WZ92" s="133"/>
      <c r="XA92" s="133"/>
      <c r="XB92" s="133"/>
      <c r="XC92" s="133"/>
      <c r="XD92" s="133"/>
      <c r="XE92" s="133"/>
      <c r="XF92" s="133"/>
      <c r="XG92" s="133"/>
      <c r="XH92" s="133"/>
      <c r="XI92" s="133"/>
      <c r="XJ92" s="133"/>
      <c r="XK92" s="133"/>
      <c r="XL92" s="133"/>
      <c r="XM92" s="133"/>
      <c r="XN92" s="133"/>
      <c r="XO92" s="133"/>
      <c r="XP92" s="133"/>
      <c r="XQ92" s="133"/>
      <c r="XR92" s="133"/>
      <c r="XS92" s="133"/>
      <c r="XT92" s="133"/>
      <c r="XU92" s="133"/>
      <c r="XV92" s="133"/>
      <c r="XW92" s="133"/>
      <c r="XX92" s="133"/>
      <c r="XY92" s="133"/>
      <c r="XZ92" s="133"/>
      <c r="YA92" s="133"/>
      <c r="YB92" s="133"/>
      <c r="YC92" s="133"/>
      <c r="YD92" s="133"/>
      <c r="YE92" s="133"/>
      <c r="YF92" s="133"/>
      <c r="YG92" s="133"/>
      <c r="YH92" s="133"/>
      <c r="YI92" s="133"/>
      <c r="YJ92" s="133"/>
      <c r="YK92" s="133"/>
      <c r="YL92" s="133"/>
      <c r="YM92" s="133"/>
      <c r="YN92" s="133"/>
      <c r="YO92" s="133"/>
      <c r="YP92" s="133"/>
      <c r="YQ92" s="133"/>
      <c r="YR92" s="133"/>
      <c r="YS92" s="133"/>
      <c r="YT92" s="133"/>
      <c r="YU92" s="133"/>
      <c r="YV92" s="133"/>
      <c r="YW92" s="133"/>
      <c r="YX92" s="133"/>
      <c r="YY92" s="133"/>
      <c r="YZ92" s="133"/>
      <c r="ZA92" s="133"/>
      <c r="ZB92" s="133"/>
      <c r="ZC92" s="133"/>
      <c r="ZD92" s="133"/>
      <c r="ZE92" s="133"/>
      <c r="ZF92" s="133"/>
      <c r="ZG92" s="133"/>
      <c r="ZH92" s="133"/>
      <c r="ZI92" s="133"/>
      <c r="ZJ92" s="133"/>
      <c r="ZK92" s="133"/>
      <c r="ZL92" s="133"/>
      <c r="ZM92" s="133"/>
      <c r="ZN92" s="133"/>
      <c r="ZO92" s="133"/>
      <c r="ZP92" s="133"/>
      <c r="ZQ92" s="133"/>
      <c r="ZR92" s="133"/>
      <c r="ZS92" s="133"/>
      <c r="ZT92" s="133"/>
      <c r="ZU92" s="133"/>
      <c r="ZV92" s="133"/>
      <c r="ZW92" s="133"/>
      <c r="ZX92" s="133"/>
      <c r="ZY92" s="133"/>
      <c r="ZZ92" s="133"/>
      <c r="AAA92" s="133"/>
      <c r="AAB92" s="133"/>
      <c r="AAC92" s="133"/>
      <c r="AAD92" s="133"/>
      <c r="AAE92" s="133"/>
      <c r="AAF92" s="133"/>
      <c r="AAG92" s="133"/>
      <c r="AAH92" s="133"/>
      <c r="AAI92" s="133"/>
      <c r="AAJ92" s="133"/>
      <c r="AAK92" s="133"/>
      <c r="AAL92" s="133"/>
      <c r="AAM92" s="133"/>
      <c r="AAN92" s="133"/>
      <c r="AAO92" s="133"/>
      <c r="AAP92" s="133"/>
      <c r="AAQ92" s="133"/>
      <c r="AAR92" s="133"/>
      <c r="AAS92" s="133"/>
      <c r="AAT92" s="133"/>
      <c r="AAU92" s="133"/>
      <c r="AAV92" s="133"/>
      <c r="AAW92" s="133"/>
      <c r="AAX92" s="133"/>
      <c r="AAY92" s="133"/>
      <c r="AAZ92" s="133"/>
      <c r="ABA92" s="133"/>
      <c r="ABB92" s="133"/>
      <c r="ABC92" s="133"/>
      <c r="ABD92" s="133"/>
      <c r="ABE92" s="133"/>
      <c r="ABF92" s="133"/>
      <c r="ABG92" s="133"/>
      <c r="ABH92" s="133"/>
      <c r="ABI92" s="133"/>
      <c r="ABJ92" s="133"/>
      <c r="ABK92" s="133"/>
      <c r="ABL92" s="133"/>
      <c r="ABM92" s="133"/>
      <c r="ABN92" s="133"/>
      <c r="ABO92" s="133"/>
      <c r="ABP92" s="133"/>
      <c r="ABQ92" s="133"/>
      <c r="ABR92" s="133"/>
      <c r="ABS92" s="133"/>
      <c r="ABT92" s="133"/>
      <c r="ABU92" s="133"/>
      <c r="ABV92" s="133"/>
      <c r="ABW92" s="133"/>
      <c r="ABX92" s="133"/>
      <c r="ABY92" s="133"/>
      <c r="ABZ92" s="133"/>
      <c r="ACA92" s="133"/>
      <c r="ACB92" s="133"/>
      <c r="ACC92" s="133"/>
      <c r="ACD92" s="133"/>
      <c r="ACE92" s="133"/>
      <c r="ACF92" s="133"/>
      <c r="ACG92" s="133"/>
      <c r="ACH92" s="133"/>
      <c r="ACI92" s="133"/>
      <c r="ACJ92" s="133"/>
      <c r="ACK92" s="133"/>
      <c r="ACL92" s="133"/>
      <c r="ACM92" s="133"/>
      <c r="ACN92" s="133"/>
      <c r="ACO92" s="133"/>
      <c r="ACP92" s="133"/>
      <c r="ACQ92" s="133"/>
      <c r="ACR92" s="133"/>
      <c r="ACS92" s="133"/>
      <c r="ACT92" s="133"/>
      <c r="ACU92" s="133"/>
      <c r="ACV92" s="133"/>
      <c r="ACW92" s="133"/>
      <c r="ACX92" s="133"/>
      <c r="ACY92" s="133"/>
      <c r="ACZ92" s="133"/>
      <c r="ADA92" s="133"/>
      <c r="ADB92" s="133"/>
      <c r="ADC92" s="133"/>
      <c r="ADD92" s="133"/>
      <c r="ADE92" s="133"/>
      <c r="ADF92" s="133"/>
      <c r="ADG92" s="133"/>
      <c r="ADH92" s="133"/>
      <c r="ADI92" s="133"/>
      <c r="ADJ92" s="133"/>
      <c r="ADK92" s="133"/>
      <c r="ADL92" s="133"/>
      <c r="ADM92" s="133"/>
      <c r="ADN92" s="133"/>
      <c r="ADO92" s="133"/>
      <c r="ADP92" s="133"/>
      <c r="ADQ92" s="133"/>
      <c r="ADR92" s="133"/>
      <c r="ADS92" s="133"/>
      <c r="ADT92" s="133"/>
      <c r="ADU92" s="133"/>
      <c r="ADV92" s="133"/>
      <c r="ADW92" s="133"/>
      <c r="ADX92" s="133"/>
      <c r="ADY92" s="133"/>
      <c r="ADZ92" s="133"/>
      <c r="AEA92" s="133"/>
      <c r="AEB92" s="133"/>
      <c r="AEC92" s="133"/>
      <c r="AED92" s="133"/>
      <c r="AEE92" s="133"/>
      <c r="AEF92" s="133"/>
      <c r="AEG92" s="133"/>
      <c r="AEH92" s="133"/>
      <c r="AEI92" s="133"/>
      <c r="AEJ92" s="133"/>
      <c r="AEK92" s="133"/>
      <c r="AEL92" s="133"/>
      <c r="AEM92" s="133"/>
      <c r="AEN92" s="133"/>
      <c r="AEO92" s="133"/>
      <c r="AEP92" s="133"/>
      <c r="AEQ92" s="133"/>
      <c r="AER92" s="133"/>
      <c r="AES92" s="133"/>
      <c r="AET92" s="133"/>
      <c r="AEU92" s="133"/>
      <c r="AEV92" s="133"/>
      <c r="AEW92" s="133"/>
      <c r="AEX92" s="133"/>
      <c r="AEY92" s="133"/>
      <c r="AEZ92" s="133"/>
      <c r="AFA92" s="133"/>
      <c r="AFB92" s="133"/>
      <c r="AFC92" s="133"/>
      <c r="AFD92" s="133"/>
      <c r="AFE92" s="133"/>
      <c r="AFF92" s="133"/>
      <c r="AFG92" s="133"/>
      <c r="AFH92" s="133"/>
      <c r="AFI92" s="133"/>
      <c r="AFJ92" s="133"/>
      <c r="AFK92" s="133"/>
      <c r="AFL92" s="133"/>
      <c r="AFM92" s="133"/>
      <c r="AFN92" s="133"/>
      <c r="AFO92" s="133"/>
      <c r="AFP92" s="133"/>
      <c r="AFQ92" s="133"/>
      <c r="AFR92" s="133"/>
      <c r="AFS92" s="133"/>
      <c r="AFT92" s="133"/>
      <c r="AFU92" s="133"/>
      <c r="AFV92" s="133"/>
      <c r="AFW92" s="133"/>
      <c r="AFX92" s="133"/>
      <c r="AFY92" s="133"/>
      <c r="AFZ92" s="133"/>
      <c r="AGA92" s="133"/>
      <c r="AGB92" s="133"/>
      <c r="AGC92" s="133"/>
      <c r="AGD92" s="133"/>
      <c r="AGE92" s="133"/>
      <c r="AGF92" s="133"/>
      <c r="AGG92" s="133"/>
      <c r="AGH92" s="133"/>
      <c r="AGI92" s="133"/>
      <c r="AGJ92" s="133"/>
      <c r="AGK92" s="133"/>
      <c r="AGL92" s="133"/>
      <c r="AGM92" s="133"/>
      <c r="AGN92" s="133"/>
      <c r="AGO92" s="133"/>
      <c r="AGP92" s="133"/>
      <c r="AGQ92" s="133"/>
      <c r="AGR92" s="133"/>
      <c r="AGS92" s="133"/>
      <c r="AGT92" s="133"/>
      <c r="AGU92" s="133"/>
      <c r="AGV92" s="133"/>
      <c r="AGW92" s="133"/>
      <c r="AGX92" s="133"/>
      <c r="AGY92" s="133"/>
      <c r="AGZ92" s="133"/>
      <c r="AHA92" s="133"/>
      <c r="AHB92" s="133"/>
      <c r="AHC92" s="133"/>
      <c r="AHD92" s="133"/>
      <c r="AHE92" s="133"/>
      <c r="AHF92" s="133"/>
      <c r="AHG92" s="133"/>
      <c r="AHH92" s="133"/>
      <c r="AHI92" s="133"/>
      <c r="AHJ92" s="133"/>
      <c r="AHK92" s="133"/>
      <c r="AHL92" s="133"/>
      <c r="AHM92" s="133"/>
      <c r="AHN92" s="133"/>
      <c r="AHO92" s="133"/>
      <c r="AHP92" s="133"/>
      <c r="AHQ92" s="133"/>
      <c r="AHR92" s="133"/>
      <c r="AHS92" s="133"/>
      <c r="AHT92" s="133"/>
      <c r="AHU92" s="133"/>
      <c r="AHV92" s="133"/>
      <c r="AHW92" s="133"/>
      <c r="AHX92" s="133"/>
      <c r="AHY92" s="133"/>
      <c r="AHZ92" s="133"/>
      <c r="AIA92" s="133"/>
      <c r="AIB92" s="133"/>
      <c r="AIC92" s="133"/>
      <c r="AID92" s="133"/>
      <c r="AIE92" s="133"/>
      <c r="AIF92" s="133"/>
      <c r="AIG92" s="133"/>
      <c r="AIH92" s="133"/>
      <c r="AII92" s="133"/>
      <c r="AIJ92" s="133"/>
      <c r="AIK92" s="133"/>
      <c r="AIL92" s="133"/>
      <c r="AIM92" s="133"/>
      <c r="AIN92" s="133"/>
      <c r="AIO92" s="133"/>
      <c r="AIP92" s="133"/>
      <c r="AIQ92" s="133"/>
      <c r="AIR92" s="133"/>
      <c r="AIS92" s="133"/>
      <c r="AIT92" s="133"/>
      <c r="AIU92" s="133"/>
      <c r="AIV92" s="133"/>
      <c r="AIW92" s="133"/>
      <c r="AIX92" s="133"/>
      <c r="AIY92" s="133"/>
      <c r="AIZ92" s="133"/>
      <c r="AJA92" s="133"/>
      <c r="AJB92" s="133"/>
      <c r="AJC92" s="133"/>
      <c r="AJD92" s="133"/>
      <c r="AJE92" s="133"/>
      <c r="AJF92" s="133"/>
      <c r="AJG92" s="133"/>
      <c r="AJH92" s="133"/>
      <c r="AJI92" s="133"/>
      <c r="AJJ92" s="133"/>
      <c r="AJK92" s="133"/>
      <c r="AJL92" s="133"/>
      <c r="AJM92" s="133"/>
      <c r="AJN92" s="133"/>
      <c r="AJO92" s="133"/>
      <c r="AJP92" s="133"/>
      <c r="AJQ92" s="133"/>
      <c r="AJR92" s="133"/>
      <c r="AJS92" s="133"/>
      <c r="AJT92" s="133"/>
      <c r="AJU92" s="133"/>
      <c r="AJV92" s="133"/>
      <c r="AJW92" s="133"/>
      <c r="AJX92" s="133"/>
      <c r="AJY92" s="133"/>
      <c r="AJZ92" s="133"/>
      <c r="AKA92" s="133"/>
      <c r="AKB92" s="133"/>
      <c r="AKC92" s="133"/>
      <c r="AKD92" s="133"/>
      <c r="AKE92" s="133"/>
      <c r="AKF92" s="133"/>
      <c r="AKG92" s="133"/>
      <c r="AKH92" s="133"/>
      <c r="AKI92" s="133"/>
      <c r="AKJ92" s="133"/>
      <c r="AKK92" s="133"/>
      <c r="AKL92" s="133"/>
      <c r="AKM92" s="133"/>
      <c r="AKN92" s="133"/>
      <c r="AKO92" s="133"/>
      <c r="AKP92" s="133"/>
      <c r="AKQ92" s="133"/>
      <c r="AKR92" s="133"/>
      <c r="AKS92" s="133"/>
      <c r="AKT92" s="133"/>
      <c r="AKU92" s="133"/>
      <c r="AKV92" s="133"/>
      <c r="AKW92" s="133"/>
      <c r="AKX92" s="133"/>
      <c r="AKY92" s="133"/>
      <c r="AKZ92" s="133"/>
      <c r="ALA92" s="133"/>
      <c r="ALB92" s="133"/>
      <c r="ALC92" s="133"/>
      <c r="ALD92" s="133"/>
      <c r="ALE92" s="133"/>
      <c r="ALF92" s="133"/>
      <c r="ALG92" s="133"/>
      <c r="ALH92" s="133"/>
      <c r="ALI92" s="133"/>
      <c r="ALJ92" s="133"/>
      <c r="ALK92" s="133"/>
      <c r="ALL92" s="133"/>
      <c r="ALM92" s="133"/>
      <c r="ALN92" s="133"/>
      <c r="ALO92" s="133"/>
      <c r="ALP92" s="133"/>
      <c r="ALQ92" s="133"/>
      <c r="ALR92" s="133"/>
      <c r="ALS92" s="133"/>
      <c r="ALT92" s="133"/>
      <c r="ALU92" s="133"/>
      <c r="ALV92" s="133"/>
      <c r="ALW92" s="133"/>
      <c r="ALX92" s="133"/>
      <c r="ALY92" s="133"/>
      <c r="ALZ92" s="133"/>
      <c r="AMA92" s="133"/>
      <c r="AMB92" s="133"/>
      <c r="AMC92" s="133"/>
      <c r="AMD92" s="133"/>
      <c r="AME92" s="133"/>
      <c r="AMF92" s="133"/>
      <c r="AMG92" s="133"/>
      <c r="AMH92" s="133"/>
      <c r="AMI92" s="133"/>
      <c r="AMJ92" s="133"/>
      <c r="AMK92" s="133"/>
      <c r="AML92" s="133"/>
      <c r="AMM92" s="133"/>
      <c r="AMN92" s="133"/>
      <c r="AMO92" s="133"/>
      <c r="AMP92" s="133"/>
      <c r="AMQ92" s="133"/>
      <c r="AMR92" s="133"/>
      <c r="AMS92" s="133"/>
      <c r="AMT92" s="133"/>
      <c r="AMU92" s="133"/>
      <c r="AMV92" s="133"/>
      <c r="AMW92" s="133"/>
      <c r="AMX92" s="133"/>
      <c r="AMY92" s="133"/>
      <c r="AMZ92" s="133"/>
      <c r="ANA92" s="133"/>
      <c r="ANB92" s="133"/>
      <c r="ANC92" s="133"/>
      <c r="AND92" s="133"/>
      <c r="ANE92" s="133"/>
      <c r="ANF92" s="133"/>
      <c r="ANG92" s="133"/>
      <c r="ANH92" s="133"/>
      <c r="ANI92" s="133"/>
      <c r="ANJ92" s="133"/>
      <c r="ANK92" s="133"/>
      <c r="ANL92" s="133"/>
      <c r="ANM92" s="133"/>
      <c r="ANN92" s="133"/>
      <c r="ANO92" s="133"/>
      <c r="ANP92" s="133"/>
      <c r="ANQ92" s="133"/>
      <c r="ANR92" s="133"/>
      <c r="ANS92" s="133"/>
      <c r="ANT92" s="133"/>
      <c r="ANU92" s="133"/>
      <c r="ANV92" s="133"/>
      <c r="ANW92" s="133"/>
      <c r="ANX92" s="133"/>
      <c r="ANY92" s="133"/>
      <c r="ANZ92" s="133"/>
      <c r="AOA92" s="133"/>
      <c r="AOB92" s="133"/>
      <c r="AOC92" s="133"/>
      <c r="AOD92" s="133"/>
      <c r="AOE92" s="133"/>
      <c r="AOF92" s="133"/>
      <c r="AOG92" s="133"/>
      <c r="AOH92" s="133"/>
      <c r="AOI92" s="133"/>
      <c r="AOJ92" s="133"/>
      <c r="AOK92" s="133"/>
      <c r="AOL92" s="133"/>
      <c r="AOM92" s="133"/>
      <c r="AON92" s="133"/>
      <c r="AOO92" s="133"/>
      <c r="AOP92" s="133"/>
      <c r="AOQ92" s="133"/>
      <c r="AOR92" s="133"/>
      <c r="AOS92" s="133"/>
      <c r="AOT92" s="133"/>
      <c r="AOU92" s="133"/>
      <c r="AOV92" s="133"/>
      <c r="AOW92" s="133"/>
      <c r="AOX92" s="133"/>
      <c r="AOY92" s="133"/>
      <c r="AOZ92" s="133"/>
      <c r="APA92" s="133"/>
      <c r="APB92" s="133"/>
      <c r="APC92" s="133"/>
      <c r="APD92" s="133"/>
      <c r="APE92" s="133"/>
      <c r="APF92" s="133"/>
      <c r="APG92" s="133"/>
      <c r="APH92" s="133"/>
      <c r="API92" s="133"/>
      <c r="APJ92" s="133"/>
      <c r="APK92" s="133"/>
      <c r="APL92" s="133"/>
      <c r="APM92" s="133"/>
      <c r="APN92" s="133"/>
      <c r="APO92" s="133"/>
      <c r="APP92" s="133"/>
      <c r="APQ92" s="133"/>
      <c r="APR92" s="133"/>
      <c r="APS92" s="133"/>
      <c r="APT92" s="133"/>
      <c r="APU92" s="133"/>
      <c r="APV92" s="133"/>
      <c r="APW92" s="133"/>
      <c r="APX92" s="133"/>
      <c r="APY92" s="133"/>
      <c r="APZ92" s="133"/>
      <c r="AQA92" s="133"/>
      <c r="AQB92" s="133"/>
      <c r="AQC92" s="133"/>
      <c r="AQD92" s="133"/>
      <c r="AQE92" s="133"/>
      <c r="AQF92" s="133"/>
      <c r="AQG92" s="133"/>
      <c r="AQH92" s="133"/>
      <c r="AQI92" s="133"/>
      <c r="AQJ92" s="133"/>
      <c r="AQK92" s="133"/>
      <c r="AQL92" s="133"/>
      <c r="AQM92" s="133"/>
      <c r="AQN92" s="133"/>
      <c r="AQO92" s="133"/>
      <c r="AQP92" s="133"/>
      <c r="AQQ92" s="133"/>
      <c r="AQR92" s="133"/>
      <c r="AQS92" s="133"/>
      <c r="AQT92" s="133"/>
      <c r="AQU92" s="133"/>
      <c r="AQV92" s="133"/>
      <c r="AQW92" s="133"/>
      <c r="AQX92" s="133"/>
      <c r="AQY92" s="133"/>
      <c r="AQZ92" s="133"/>
      <c r="ARA92" s="133"/>
      <c r="ARB92" s="133"/>
      <c r="ARC92" s="133"/>
      <c r="ARD92" s="133"/>
      <c r="ARE92" s="133"/>
      <c r="ARF92" s="133"/>
      <c r="ARG92" s="133"/>
      <c r="ARH92" s="133"/>
      <c r="ARI92" s="133"/>
      <c r="ARJ92" s="133"/>
      <c r="ARK92" s="133"/>
      <c r="ARL92" s="133"/>
      <c r="ARM92" s="133"/>
      <c r="ARN92" s="133"/>
      <c r="ARO92" s="133"/>
      <c r="ARP92" s="133"/>
      <c r="ARQ92" s="133"/>
      <c r="ARR92" s="133"/>
      <c r="ARS92" s="133"/>
      <c r="ART92" s="133"/>
      <c r="ARU92" s="133"/>
      <c r="ARV92" s="133"/>
      <c r="ARW92" s="133"/>
      <c r="ARX92" s="133"/>
      <c r="ARY92" s="133"/>
      <c r="ARZ92" s="133"/>
      <c r="ASA92" s="133"/>
      <c r="ASB92" s="133"/>
      <c r="ASC92" s="133"/>
      <c r="ASD92" s="133"/>
      <c r="ASE92" s="133"/>
      <c r="ASF92" s="133"/>
      <c r="ASG92" s="133"/>
      <c r="ASH92" s="133"/>
      <c r="ASI92" s="133"/>
      <c r="ASJ92" s="133"/>
      <c r="ASK92" s="133"/>
      <c r="ASL92" s="133"/>
      <c r="ASM92" s="133"/>
      <c r="ASN92" s="133"/>
      <c r="ASO92" s="133"/>
      <c r="ASP92" s="133"/>
      <c r="ASQ92" s="133"/>
      <c r="ASR92" s="133"/>
      <c r="ASS92" s="133"/>
      <c r="AST92" s="133"/>
      <c r="ASU92" s="133"/>
      <c r="ASV92" s="133"/>
      <c r="ASW92" s="133"/>
      <c r="ASX92" s="133"/>
      <c r="ASY92" s="133"/>
      <c r="ASZ92" s="133"/>
      <c r="ATA92" s="133"/>
      <c r="ATB92" s="133"/>
      <c r="ATC92" s="133"/>
      <c r="ATD92" s="133"/>
      <c r="ATE92" s="133"/>
      <c r="ATF92" s="133"/>
      <c r="ATG92" s="133"/>
      <c r="ATH92" s="133"/>
      <c r="ATI92" s="133"/>
      <c r="ATJ92" s="133"/>
      <c r="ATK92" s="133"/>
      <c r="ATL92" s="133"/>
      <c r="ATM92" s="133"/>
      <c r="ATN92" s="133"/>
      <c r="ATO92" s="133"/>
      <c r="ATP92" s="133"/>
      <c r="ATQ92" s="133"/>
      <c r="ATR92" s="133"/>
      <c r="ATS92" s="133"/>
      <c r="ATT92" s="133"/>
      <c r="ATU92" s="133"/>
      <c r="ATV92" s="133"/>
      <c r="ATW92" s="133"/>
      <c r="ATX92" s="133"/>
      <c r="ATY92" s="133"/>
      <c r="ATZ92" s="133"/>
      <c r="AUA92" s="133"/>
      <c r="AUB92" s="133"/>
      <c r="AUC92" s="133"/>
      <c r="AUD92" s="133"/>
      <c r="AUE92" s="133"/>
      <c r="AUF92" s="133"/>
      <c r="AUG92" s="133"/>
      <c r="AUH92" s="133"/>
      <c r="AUI92" s="133"/>
      <c r="AUJ92" s="133"/>
      <c r="AUK92" s="133"/>
      <c r="AUL92" s="133"/>
      <c r="AUM92" s="133"/>
      <c r="AUN92" s="133"/>
      <c r="AUO92" s="133"/>
      <c r="AUP92" s="133"/>
      <c r="AUQ92" s="133"/>
      <c r="AUR92" s="133"/>
      <c r="AUS92" s="133"/>
      <c r="AUT92" s="133"/>
      <c r="AUU92" s="133"/>
      <c r="AUV92" s="133"/>
      <c r="AUW92" s="133"/>
      <c r="AUX92" s="133"/>
      <c r="AUY92" s="133"/>
      <c r="AUZ92" s="133"/>
      <c r="AVA92" s="133"/>
      <c r="AVB92" s="133"/>
      <c r="AVC92" s="133"/>
      <c r="AVD92" s="133"/>
      <c r="AVE92" s="133"/>
      <c r="AVF92" s="133"/>
      <c r="AVG92" s="133"/>
      <c r="AVH92" s="133"/>
      <c r="AVI92" s="133"/>
      <c r="AVJ92" s="133"/>
      <c r="AVK92" s="133"/>
      <c r="AVL92" s="133"/>
      <c r="AVM92" s="133"/>
      <c r="AVN92" s="133"/>
      <c r="AVO92" s="133"/>
      <c r="AVP92" s="133"/>
      <c r="AVQ92" s="133"/>
      <c r="AVR92" s="133"/>
      <c r="AVS92" s="133"/>
      <c r="AVT92" s="133"/>
      <c r="AVU92" s="133"/>
      <c r="AVV92" s="133"/>
      <c r="AVW92" s="133"/>
      <c r="AVX92" s="133"/>
      <c r="AVY92" s="133"/>
      <c r="AVZ92" s="133"/>
      <c r="AWA92" s="133"/>
      <c r="AWB92" s="133"/>
      <c r="AWC92" s="133"/>
      <c r="AWD92" s="133"/>
      <c r="AWE92" s="133"/>
      <c r="AWF92" s="133"/>
      <c r="AWG92" s="133"/>
      <c r="AWH92" s="133"/>
      <c r="AWI92" s="133"/>
      <c r="AWJ92" s="133"/>
      <c r="AWK92" s="133"/>
      <c r="AWL92" s="133"/>
      <c r="AWM92" s="133"/>
      <c r="AWN92" s="133"/>
      <c r="AWO92" s="133"/>
      <c r="AWP92" s="133"/>
      <c r="AWQ92" s="133"/>
      <c r="AWR92" s="133"/>
      <c r="AWS92" s="133"/>
      <c r="AWT92" s="133"/>
      <c r="AWU92" s="133"/>
      <c r="AWV92" s="133"/>
      <c r="AWW92" s="133"/>
      <c r="AWX92" s="133"/>
      <c r="AWY92" s="133"/>
      <c r="AWZ92" s="133"/>
      <c r="AXA92" s="133"/>
      <c r="AXB92" s="133"/>
      <c r="AXC92" s="133"/>
      <c r="AXD92" s="133"/>
      <c r="AXE92" s="133"/>
      <c r="AXF92" s="133"/>
      <c r="AXG92" s="133"/>
      <c r="AXH92" s="133"/>
      <c r="AXI92" s="133"/>
      <c r="AXJ92" s="133"/>
      <c r="AXK92" s="133"/>
      <c r="AXL92" s="133"/>
      <c r="AXM92" s="133"/>
      <c r="AXN92" s="133"/>
      <c r="AXO92" s="133"/>
      <c r="AXP92" s="133"/>
      <c r="AXQ92" s="133"/>
      <c r="AXR92" s="133"/>
      <c r="AXS92" s="133"/>
      <c r="AXT92" s="133"/>
      <c r="AXU92" s="133"/>
      <c r="AXV92" s="133"/>
      <c r="AXW92" s="133"/>
      <c r="AXX92" s="133"/>
      <c r="AXY92" s="133"/>
      <c r="AXZ92" s="133"/>
      <c r="AYA92" s="133"/>
      <c r="AYB92" s="133"/>
      <c r="AYC92" s="133"/>
      <c r="AYD92" s="133"/>
      <c r="AYE92" s="133"/>
      <c r="AYF92" s="133"/>
      <c r="AYG92" s="133"/>
      <c r="AYH92" s="133"/>
      <c r="AYI92" s="133"/>
      <c r="AYJ92" s="133"/>
      <c r="AYK92" s="133"/>
      <c r="AYL92" s="133"/>
      <c r="AYM92" s="133"/>
      <c r="AYN92" s="133"/>
      <c r="AYO92" s="133"/>
      <c r="AYP92" s="133"/>
      <c r="AYQ92" s="133"/>
      <c r="AYR92" s="133"/>
      <c r="AYS92" s="133"/>
      <c r="AYT92" s="133"/>
      <c r="AYU92" s="133"/>
      <c r="AYV92" s="133"/>
      <c r="AYW92" s="133"/>
      <c r="AYX92" s="133"/>
      <c r="AYY92" s="133"/>
      <c r="AYZ92" s="133"/>
      <c r="AZA92" s="133"/>
      <c r="AZB92" s="133"/>
      <c r="AZC92" s="133"/>
      <c r="AZD92" s="133"/>
      <c r="AZE92" s="133"/>
      <c r="AZF92" s="133"/>
      <c r="AZG92" s="133"/>
      <c r="AZH92" s="133"/>
      <c r="AZI92" s="133"/>
      <c r="AZJ92" s="133"/>
      <c r="AZK92" s="133"/>
      <c r="AZL92" s="133"/>
      <c r="AZM92" s="133"/>
      <c r="AZN92" s="133"/>
      <c r="AZO92" s="133"/>
      <c r="AZP92" s="133"/>
      <c r="AZQ92" s="133"/>
      <c r="AZR92" s="133"/>
      <c r="AZS92" s="133"/>
      <c r="AZT92" s="133"/>
      <c r="AZU92" s="133"/>
      <c r="AZV92" s="133"/>
      <c r="AZW92" s="133"/>
      <c r="AZX92" s="133"/>
      <c r="AZY92" s="133"/>
      <c r="AZZ92" s="133"/>
      <c r="BAA92" s="133"/>
      <c r="BAB92" s="133"/>
      <c r="BAC92" s="133"/>
      <c r="BAD92" s="133"/>
      <c r="BAE92" s="133"/>
      <c r="BAF92" s="133"/>
      <c r="BAG92" s="133"/>
      <c r="BAH92" s="133"/>
      <c r="BAI92" s="133"/>
      <c r="BAJ92" s="133"/>
      <c r="BAK92" s="133"/>
      <c r="BAL92" s="133"/>
      <c r="BAM92" s="133"/>
      <c r="BAN92" s="133"/>
      <c r="BAO92" s="133"/>
      <c r="BAP92" s="133"/>
      <c r="BAQ92" s="133"/>
      <c r="BAR92" s="133"/>
      <c r="BAS92" s="133"/>
      <c r="BAT92" s="133"/>
      <c r="BAU92" s="133"/>
      <c r="BAV92" s="133"/>
      <c r="BAW92" s="133"/>
      <c r="BAX92" s="133"/>
      <c r="BAY92" s="133"/>
      <c r="BAZ92" s="133"/>
      <c r="BBA92" s="133"/>
      <c r="BBB92" s="133"/>
      <c r="BBC92" s="133"/>
      <c r="BBD92" s="133"/>
      <c r="BBE92" s="133"/>
      <c r="BBF92" s="133"/>
      <c r="BBG92" s="133"/>
      <c r="BBH92" s="133"/>
      <c r="BBI92" s="133"/>
      <c r="BBJ92" s="133"/>
      <c r="BBK92" s="133"/>
      <c r="BBL92" s="133"/>
      <c r="BBM92" s="133"/>
      <c r="BBN92" s="133"/>
      <c r="BBO92" s="133"/>
      <c r="BBP92" s="133"/>
      <c r="BBQ92" s="133"/>
      <c r="BBR92" s="133"/>
      <c r="BBS92" s="133"/>
      <c r="BBT92" s="133"/>
      <c r="BBU92" s="133"/>
      <c r="BBV92" s="133"/>
      <c r="BBW92" s="133"/>
      <c r="BBX92" s="133"/>
      <c r="BBY92" s="133"/>
      <c r="BBZ92" s="133"/>
      <c r="BCA92" s="133"/>
      <c r="BCB92" s="133"/>
      <c r="BCC92" s="133"/>
      <c r="BCD92" s="133"/>
      <c r="BCE92" s="133"/>
      <c r="BCF92" s="133"/>
      <c r="BCG92" s="133"/>
      <c r="BCH92" s="133"/>
      <c r="BCI92" s="133"/>
      <c r="BCJ92" s="133"/>
      <c r="BCK92" s="133"/>
      <c r="BCL92" s="133"/>
      <c r="BCM92" s="133"/>
      <c r="BCN92" s="133"/>
      <c r="BCO92" s="133"/>
      <c r="BCP92" s="133"/>
      <c r="BCQ92" s="133"/>
      <c r="BCR92" s="133"/>
      <c r="BCS92" s="133"/>
      <c r="BCT92" s="133"/>
      <c r="BCU92" s="133"/>
      <c r="BCV92" s="133"/>
      <c r="BCW92" s="133"/>
      <c r="BCX92" s="133"/>
      <c r="BCY92" s="133"/>
      <c r="BCZ92" s="133"/>
      <c r="BDA92" s="133"/>
      <c r="BDB92" s="133"/>
      <c r="BDC92" s="133"/>
      <c r="BDD92" s="133"/>
      <c r="BDE92" s="133"/>
      <c r="BDF92" s="133"/>
      <c r="BDG92" s="133"/>
      <c r="BDH92" s="133"/>
      <c r="BDI92" s="133"/>
      <c r="BDJ92" s="133"/>
      <c r="BDK92" s="133"/>
      <c r="BDL92" s="133"/>
      <c r="BDM92" s="133"/>
      <c r="BDN92" s="133"/>
      <c r="BDO92" s="133"/>
      <c r="BDP92" s="133"/>
      <c r="BDQ92" s="133"/>
      <c r="BDR92" s="133"/>
      <c r="BDS92" s="133"/>
      <c r="BDT92" s="133"/>
      <c r="BDU92" s="133"/>
      <c r="BDV92" s="133"/>
      <c r="BDW92" s="133"/>
      <c r="BDX92" s="133"/>
      <c r="BDY92" s="133"/>
      <c r="BDZ92" s="133"/>
      <c r="BEA92" s="133"/>
      <c r="BEB92" s="133"/>
      <c r="BEC92" s="133"/>
      <c r="BED92" s="133"/>
      <c r="BEE92" s="133"/>
      <c r="BEF92" s="133"/>
      <c r="BEG92" s="133"/>
      <c r="BEH92" s="133"/>
      <c r="BEI92" s="133"/>
      <c r="BEJ92" s="133"/>
      <c r="BEK92" s="133"/>
      <c r="BEL92" s="133"/>
      <c r="BEM92" s="133"/>
      <c r="BEN92" s="133"/>
      <c r="BEO92" s="133"/>
      <c r="BEP92" s="133"/>
      <c r="BEQ92" s="133"/>
      <c r="BER92" s="133"/>
      <c r="BES92" s="133"/>
      <c r="BET92" s="133"/>
      <c r="BEU92" s="133"/>
      <c r="BEV92" s="133"/>
      <c r="BEW92" s="133"/>
      <c r="BEX92" s="133"/>
      <c r="BEY92" s="133"/>
      <c r="BEZ92" s="133"/>
      <c r="BFA92" s="133"/>
      <c r="BFB92" s="133"/>
      <c r="BFC92" s="133"/>
      <c r="BFD92" s="133"/>
      <c r="BFE92" s="133"/>
      <c r="BFF92" s="133"/>
      <c r="BFG92" s="133"/>
      <c r="BFH92" s="133"/>
      <c r="BFI92" s="133"/>
      <c r="BFJ92" s="133"/>
      <c r="BFK92" s="133"/>
      <c r="BFL92" s="133"/>
      <c r="BFM92" s="133"/>
      <c r="BFN92" s="133"/>
      <c r="BFO92" s="133"/>
      <c r="BFP92" s="133"/>
      <c r="BFQ92" s="133"/>
      <c r="BFR92" s="133"/>
      <c r="BFS92" s="133"/>
      <c r="BFT92" s="133"/>
      <c r="BFU92" s="133"/>
      <c r="BFV92" s="133"/>
      <c r="BFW92" s="133"/>
      <c r="BFX92" s="133"/>
      <c r="BFY92" s="133"/>
      <c r="BFZ92" s="133"/>
      <c r="BGA92" s="133"/>
      <c r="BGB92" s="133"/>
      <c r="BGC92" s="133"/>
      <c r="BGD92" s="133"/>
      <c r="BGE92" s="133"/>
      <c r="BGF92" s="133"/>
      <c r="BGG92" s="133"/>
      <c r="BGH92" s="133"/>
      <c r="BGI92" s="133"/>
      <c r="BGJ92" s="133"/>
      <c r="BGK92" s="133"/>
      <c r="BGL92" s="133"/>
      <c r="BGM92" s="133"/>
      <c r="BGN92" s="133"/>
      <c r="BGO92" s="133"/>
      <c r="BGP92" s="133"/>
      <c r="BGQ92" s="133"/>
      <c r="BGR92" s="133"/>
      <c r="BGS92" s="133"/>
      <c r="BGT92" s="133"/>
      <c r="BGU92" s="133"/>
      <c r="BGV92" s="133"/>
      <c r="BGW92" s="133"/>
      <c r="BGX92" s="133"/>
      <c r="BGY92" s="133"/>
      <c r="BGZ92" s="133"/>
      <c r="BHA92" s="133"/>
      <c r="BHB92" s="133"/>
      <c r="BHC92" s="133"/>
      <c r="BHD92" s="133"/>
      <c r="BHE92" s="133"/>
      <c r="BHF92" s="133"/>
      <c r="BHG92" s="133"/>
      <c r="BHH92" s="133"/>
      <c r="BHI92" s="133"/>
      <c r="BHJ92" s="133"/>
      <c r="BHK92" s="133"/>
      <c r="BHL92" s="133"/>
      <c r="BHM92" s="133"/>
      <c r="BHN92" s="133"/>
      <c r="BHO92" s="133"/>
      <c r="BHP92" s="133"/>
      <c r="BHQ92" s="133"/>
      <c r="BHR92" s="133"/>
      <c r="BHS92" s="133"/>
      <c r="BHT92" s="133"/>
      <c r="BHU92" s="133"/>
      <c r="BHV92" s="133"/>
      <c r="BHW92" s="133"/>
      <c r="BHX92" s="133"/>
      <c r="BHY92" s="133"/>
      <c r="BHZ92" s="133"/>
      <c r="BIA92" s="133"/>
      <c r="BIB92" s="133"/>
      <c r="BIC92" s="133"/>
      <c r="BID92" s="133"/>
      <c r="BIE92" s="133"/>
      <c r="BIF92" s="133"/>
      <c r="BIG92" s="133"/>
      <c r="BIH92" s="133"/>
      <c r="BII92" s="133"/>
      <c r="BIJ92" s="133"/>
      <c r="BIK92" s="133"/>
      <c r="BIL92" s="133"/>
      <c r="BIM92" s="133"/>
      <c r="BIN92" s="133"/>
      <c r="BIO92" s="133"/>
      <c r="BIP92" s="133"/>
      <c r="BIQ92" s="133"/>
      <c r="BIR92" s="133"/>
      <c r="BIS92" s="133"/>
      <c r="BIT92" s="133"/>
      <c r="BIU92" s="133"/>
      <c r="BIV92" s="133"/>
      <c r="BIW92" s="133"/>
      <c r="BIX92" s="133"/>
      <c r="BIY92" s="133"/>
      <c r="BIZ92" s="133"/>
      <c r="BJA92" s="133"/>
      <c r="BJB92" s="133"/>
      <c r="BJC92" s="133"/>
      <c r="BJD92" s="133"/>
      <c r="BJE92" s="133"/>
      <c r="BJF92" s="133"/>
      <c r="BJG92" s="133"/>
      <c r="BJH92" s="133"/>
      <c r="BJI92" s="133"/>
      <c r="BJJ92" s="133"/>
      <c r="BJK92" s="133"/>
      <c r="BJL92" s="133"/>
      <c r="BJM92" s="133"/>
      <c r="BJN92" s="133"/>
      <c r="BJO92" s="133"/>
      <c r="BJP92" s="133"/>
      <c r="BJQ92" s="133"/>
      <c r="BJR92" s="133"/>
      <c r="BJS92" s="133"/>
      <c r="BJT92" s="133"/>
      <c r="BJU92" s="133"/>
      <c r="BJV92" s="133"/>
      <c r="BJW92" s="133"/>
      <c r="BJX92" s="133"/>
      <c r="BJY92" s="133"/>
      <c r="BJZ92" s="133"/>
      <c r="BKA92" s="133"/>
      <c r="BKB92" s="133"/>
      <c r="BKC92" s="133"/>
      <c r="BKD92" s="133"/>
      <c r="BKE92" s="133"/>
      <c r="BKF92" s="133"/>
      <c r="BKG92" s="133"/>
      <c r="BKH92" s="133"/>
      <c r="BKI92" s="133"/>
      <c r="BKJ92" s="133"/>
      <c r="BKK92" s="133"/>
      <c r="BKL92" s="133"/>
      <c r="BKM92" s="133"/>
      <c r="BKN92" s="133"/>
      <c r="BKO92" s="133"/>
      <c r="BKP92" s="133"/>
      <c r="BKQ92" s="133"/>
      <c r="BKR92" s="133"/>
      <c r="BKS92" s="133"/>
      <c r="BKT92" s="133"/>
      <c r="BKU92" s="133"/>
      <c r="BKV92" s="133"/>
      <c r="BKW92" s="133"/>
      <c r="BKX92" s="133"/>
      <c r="BKY92" s="133"/>
      <c r="BKZ92" s="133"/>
      <c r="BLA92" s="133"/>
      <c r="BLB92" s="133"/>
      <c r="BLC92" s="133"/>
      <c r="BLD92" s="133"/>
      <c r="BLE92" s="133"/>
      <c r="BLF92" s="133"/>
      <c r="BLG92" s="133"/>
      <c r="BLH92" s="133"/>
      <c r="BLI92" s="133"/>
      <c r="BLJ92" s="133"/>
      <c r="BLK92" s="133"/>
      <c r="BLL92" s="133"/>
      <c r="BLM92" s="133"/>
      <c r="BLN92" s="133"/>
      <c r="BLO92" s="133"/>
      <c r="BLP92" s="133"/>
      <c r="BLQ92" s="133"/>
      <c r="BLR92" s="133"/>
      <c r="BLS92" s="133"/>
      <c r="BLT92" s="133"/>
      <c r="BLU92" s="133"/>
      <c r="BLV92" s="133"/>
      <c r="BLW92" s="133"/>
      <c r="BLX92" s="133"/>
      <c r="BLY92" s="133"/>
      <c r="BLZ92" s="133"/>
      <c r="BMA92" s="133"/>
      <c r="BMB92" s="133"/>
      <c r="BMC92" s="133"/>
      <c r="BMD92" s="133"/>
      <c r="BME92" s="133"/>
      <c r="BMF92" s="133"/>
      <c r="BMG92" s="133"/>
      <c r="BMH92" s="133"/>
      <c r="BMI92" s="133"/>
      <c r="BMJ92" s="133"/>
      <c r="BMK92" s="133"/>
      <c r="BML92" s="133"/>
      <c r="BMM92" s="133"/>
      <c r="BMN92" s="133"/>
      <c r="BMO92" s="133"/>
      <c r="BMP92" s="133"/>
      <c r="BMQ92" s="133"/>
      <c r="BMR92" s="133"/>
      <c r="BMS92" s="133"/>
      <c r="BMT92" s="133"/>
      <c r="BMU92" s="133"/>
      <c r="BMV92" s="133"/>
      <c r="BMW92" s="133"/>
      <c r="BMX92" s="133"/>
      <c r="BMY92" s="133"/>
      <c r="BMZ92" s="133"/>
      <c r="BNA92" s="133"/>
      <c r="BNB92" s="133"/>
      <c r="BNC92" s="133"/>
      <c r="BND92" s="133"/>
      <c r="BNE92" s="133"/>
      <c r="BNF92" s="133"/>
      <c r="BNG92" s="133"/>
      <c r="BNH92" s="133"/>
      <c r="BNI92" s="133"/>
      <c r="BNJ92" s="133"/>
      <c r="BNK92" s="133"/>
      <c r="BNL92" s="133"/>
      <c r="BNM92" s="133"/>
      <c r="BNN92" s="133"/>
      <c r="BNO92" s="133"/>
      <c r="BNP92" s="133"/>
      <c r="BNQ92" s="133"/>
      <c r="BNR92" s="133"/>
      <c r="BNS92" s="133"/>
      <c r="BNT92" s="133"/>
      <c r="BNU92" s="133"/>
      <c r="BNV92" s="133"/>
      <c r="BNW92" s="133"/>
      <c r="BNX92" s="133"/>
      <c r="BNY92" s="133"/>
      <c r="BNZ92" s="133"/>
      <c r="BOA92" s="133"/>
      <c r="BOB92" s="133"/>
      <c r="BOC92" s="133"/>
      <c r="BOD92" s="133"/>
      <c r="BOE92" s="133"/>
      <c r="BOF92" s="133"/>
      <c r="BOG92" s="133"/>
      <c r="BOH92" s="133"/>
      <c r="BOI92" s="133"/>
      <c r="BOJ92" s="133"/>
      <c r="BOK92" s="133"/>
      <c r="BOL92" s="133"/>
      <c r="BOM92" s="133"/>
      <c r="BON92" s="133"/>
      <c r="BOO92" s="133"/>
      <c r="BOP92" s="133"/>
      <c r="BOQ92" s="133"/>
      <c r="BOR92" s="133"/>
      <c r="BOS92" s="133"/>
      <c r="BOT92" s="133"/>
      <c r="BOU92" s="133"/>
      <c r="BOV92" s="133"/>
      <c r="BOW92" s="133"/>
      <c r="BOX92" s="133"/>
      <c r="BOY92" s="133"/>
      <c r="BOZ92" s="133"/>
      <c r="BPA92" s="133"/>
      <c r="BPB92" s="133"/>
      <c r="BPC92" s="133"/>
      <c r="BPD92" s="133"/>
      <c r="BPE92" s="133"/>
      <c r="BPF92" s="133"/>
      <c r="BPG92" s="133"/>
      <c r="BPH92" s="133"/>
      <c r="BPI92" s="133"/>
      <c r="BPJ92" s="133"/>
      <c r="BPK92" s="133"/>
      <c r="BPL92" s="133"/>
      <c r="BPM92" s="133"/>
      <c r="BPN92" s="133"/>
      <c r="BPO92" s="133"/>
      <c r="BPP92" s="133"/>
      <c r="BPQ92" s="133"/>
      <c r="BPR92" s="133"/>
      <c r="BPS92" s="133"/>
      <c r="BPT92" s="133"/>
      <c r="BPU92" s="133"/>
      <c r="BPV92" s="133"/>
      <c r="BPW92" s="133"/>
      <c r="BPX92" s="133"/>
      <c r="BPY92" s="133"/>
      <c r="BPZ92" s="133"/>
      <c r="BQA92" s="133"/>
      <c r="BQB92" s="133"/>
      <c r="BQC92" s="133"/>
      <c r="BQD92" s="133"/>
      <c r="BQE92" s="133"/>
      <c r="BQF92" s="133"/>
      <c r="BQG92" s="133"/>
      <c r="BQH92" s="133"/>
      <c r="BQI92" s="133"/>
      <c r="BQJ92" s="133"/>
      <c r="BQK92" s="133"/>
      <c r="BQL92" s="133"/>
      <c r="BQM92" s="133"/>
      <c r="BQN92" s="133"/>
      <c r="BQO92" s="133"/>
      <c r="BQP92" s="133"/>
      <c r="BQQ92" s="133"/>
      <c r="BQR92" s="133"/>
      <c r="BQS92" s="133"/>
      <c r="BQT92" s="133"/>
      <c r="BQU92" s="133"/>
      <c r="BQV92" s="133"/>
      <c r="BQW92" s="133"/>
      <c r="BQX92" s="133"/>
      <c r="BQY92" s="133"/>
      <c r="BQZ92" s="133"/>
      <c r="BRA92" s="133"/>
      <c r="BRB92" s="133"/>
      <c r="BRC92" s="133"/>
      <c r="BRD92" s="133"/>
      <c r="BRE92" s="133"/>
      <c r="BRF92" s="133"/>
      <c r="BRG92" s="133"/>
      <c r="BRH92" s="133"/>
      <c r="BRI92" s="133"/>
      <c r="BRJ92" s="133"/>
      <c r="BRK92" s="133"/>
      <c r="BRL92" s="133"/>
      <c r="BRM92" s="133"/>
      <c r="BRN92" s="133"/>
      <c r="BRO92" s="133"/>
      <c r="BRP92" s="133"/>
      <c r="BRQ92" s="133"/>
      <c r="BRR92" s="133"/>
      <c r="BRS92" s="133"/>
      <c r="BRT92" s="133"/>
      <c r="BRU92" s="133"/>
      <c r="BRV92" s="133"/>
      <c r="BRW92" s="133"/>
      <c r="BRX92" s="133"/>
      <c r="BRY92" s="133"/>
      <c r="BRZ92" s="133"/>
      <c r="BSA92" s="133"/>
      <c r="BSB92" s="133"/>
      <c r="BSC92" s="133"/>
      <c r="BSD92" s="133"/>
      <c r="BSE92" s="133"/>
      <c r="BSF92" s="133"/>
      <c r="BSG92" s="133"/>
      <c r="BSH92" s="133"/>
      <c r="BSI92" s="133"/>
      <c r="BSJ92" s="133"/>
      <c r="BSK92" s="133"/>
      <c r="BSL92" s="133"/>
      <c r="BSM92" s="133"/>
      <c r="BSN92" s="133"/>
      <c r="BSO92" s="133"/>
      <c r="BSP92" s="133"/>
      <c r="BSQ92" s="133"/>
      <c r="BSR92" s="133"/>
      <c r="BSS92" s="133"/>
      <c r="BST92" s="133"/>
      <c r="BSU92" s="133"/>
      <c r="BSV92" s="133"/>
      <c r="BSW92" s="133"/>
      <c r="BSX92" s="133"/>
      <c r="BSY92" s="133"/>
      <c r="BSZ92" s="133"/>
      <c r="BTA92" s="133"/>
      <c r="BTB92" s="133"/>
      <c r="BTC92" s="133"/>
      <c r="BTD92" s="133"/>
      <c r="BTE92" s="133"/>
      <c r="BTF92" s="133"/>
      <c r="BTG92" s="133"/>
      <c r="BTH92" s="133"/>
      <c r="BTI92" s="133"/>
      <c r="BTJ92" s="133"/>
      <c r="BTK92" s="133"/>
      <c r="BTL92" s="133"/>
      <c r="BTM92" s="133"/>
      <c r="BTN92" s="133"/>
      <c r="BTO92" s="133"/>
      <c r="BTP92" s="133"/>
      <c r="BTQ92" s="133"/>
      <c r="BTR92" s="133"/>
      <c r="BTS92" s="133"/>
      <c r="BTT92" s="133"/>
      <c r="BTU92" s="133"/>
      <c r="BTV92" s="133"/>
      <c r="BTW92" s="133"/>
      <c r="BTX92" s="133"/>
      <c r="BTY92" s="133"/>
      <c r="BTZ92" s="133"/>
      <c r="BUA92" s="133"/>
      <c r="BUB92" s="133"/>
      <c r="BUC92" s="133"/>
      <c r="BUD92" s="133"/>
      <c r="BUE92" s="133"/>
      <c r="BUF92" s="133"/>
      <c r="BUG92" s="133"/>
      <c r="BUH92" s="133"/>
      <c r="BUI92" s="133"/>
      <c r="BUJ92" s="133"/>
      <c r="BUK92" s="133"/>
      <c r="BUL92" s="133"/>
      <c r="BUM92" s="133"/>
      <c r="BUN92" s="133"/>
      <c r="BUO92" s="133"/>
      <c r="BUP92" s="133"/>
      <c r="BUQ92" s="133"/>
      <c r="BUR92" s="133"/>
      <c r="BUS92" s="133"/>
      <c r="BUT92" s="133"/>
      <c r="BUU92" s="133"/>
      <c r="BUV92" s="133"/>
      <c r="BUW92" s="133"/>
      <c r="BUX92" s="133"/>
      <c r="BUY92" s="133"/>
      <c r="BUZ92" s="133"/>
      <c r="BVA92" s="133"/>
      <c r="BVB92" s="133"/>
      <c r="BVC92" s="133"/>
      <c r="BVD92" s="133"/>
      <c r="BVE92" s="133"/>
      <c r="BVF92" s="133"/>
      <c r="BVG92" s="133"/>
      <c r="BVH92" s="133"/>
      <c r="BVI92" s="133"/>
      <c r="BVJ92" s="133"/>
      <c r="BVK92" s="133"/>
      <c r="BVL92" s="133"/>
      <c r="BVM92" s="133"/>
      <c r="BVN92" s="133"/>
      <c r="BVO92" s="133"/>
      <c r="BVP92" s="133"/>
      <c r="BVQ92" s="133"/>
      <c r="BVR92" s="133"/>
      <c r="BVS92" s="133"/>
      <c r="BVT92" s="133"/>
      <c r="BVU92" s="133"/>
      <c r="BVV92" s="133"/>
      <c r="BVW92" s="133"/>
      <c r="BVX92" s="133"/>
      <c r="BVY92" s="133"/>
      <c r="BVZ92" s="133"/>
      <c r="BWA92" s="133"/>
      <c r="BWB92" s="133"/>
      <c r="BWC92" s="133"/>
      <c r="BWD92" s="133"/>
      <c r="BWE92" s="133"/>
      <c r="BWF92" s="133"/>
      <c r="BWG92" s="133"/>
      <c r="BWH92" s="133"/>
      <c r="BWI92" s="133"/>
      <c r="BWJ92" s="133"/>
      <c r="BWK92" s="133"/>
      <c r="BWL92" s="133"/>
      <c r="BWM92" s="133"/>
      <c r="BWN92" s="133"/>
      <c r="BWO92" s="133"/>
      <c r="BWP92" s="133"/>
      <c r="BWQ92" s="133"/>
      <c r="BWR92" s="133"/>
      <c r="BWS92" s="133"/>
      <c r="BWT92" s="133"/>
      <c r="BWU92" s="133"/>
      <c r="BWV92" s="133"/>
      <c r="BWW92" s="133"/>
      <c r="BWX92" s="133"/>
      <c r="BWY92" s="133"/>
      <c r="BWZ92" s="133"/>
      <c r="BXA92" s="133"/>
      <c r="BXB92" s="133"/>
      <c r="BXC92" s="133"/>
      <c r="BXD92" s="133"/>
      <c r="BXE92" s="133"/>
      <c r="BXF92" s="133"/>
      <c r="BXG92" s="133"/>
      <c r="BXH92" s="133"/>
      <c r="BXI92" s="133"/>
      <c r="BXJ92" s="133"/>
      <c r="BXK92" s="133"/>
      <c r="BXL92" s="133"/>
      <c r="BXM92" s="133"/>
      <c r="BXN92" s="133"/>
      <c r="BXO92" s="133"/>
      <c r="BXP92" s="133"/>
      <c r="BXQ92" s="133"/>
      <c r="BXR92" s="133"/>
      <c r="BXS92" s="133"/>
      <c r="BXT92" s="133"/>
      <c r="BXU92" s="133"/>
      <c r="BXV92" s="133"/>
      <c r="BXW92" s="133"/>
      <c r="BXX92" s="133"/>
      <c r="BXY92" s="133"/>
      <c r="BXZ92" s="133"/>
      <c r="BYA92" s="133"/>
      <c r="BYB92" s="133"/>
      <c r="BYC92" s="133"/>
      <c r="BYD92" s="133"/>
      <c r="BYE92" s="133"/>
      <c r="BYF92" s="133"/>
      <c r="BYG92" s="133"/>
      <c r="BYH92" s="133"/>
      <c r="BYI92" s="133"/>
      <c r="BYJ92" s="133"/>
      <c r="BYK92" s="133"/>
      <c r="BYL92" s="133"/>
      <c r="BYM92" s="133"/>
      <c r="BYN92" s="133"/>
      <c r="BYO92" s="133"/>
      <c r="BYP92" s="133"/>
      <c r="BYQ92" s="133"/>
      <c r="BYR92" s="133"/>
      <c r="BYS92" s="133"/>
      <c r="BYT92" s="133"/>
      <c r="BYU92" s="133"/>
      <c r="BYV92" s="133"/>
      <c r="BYW92" s="133"/>
      <c r="BYX92" s="133"/>
      <c r="BYY92" s="133"/>
      <c r="BYZ92" s="133"/>
      <c r="BZA92" s="133"/>
      <c r="BZB92" s="133"/>
      <c r="BZC92" s="133"/>
      <c r="BZD92" s="133"/>
      <c r="BZE92" s="133"/>
      <c r="BZF92" s="133"/>
      <c r="BZG92" s="133"/>
      <c r="BZH92" s="133"/>
      <c r="BZI92" s="133"/>
      <c r="BZJ92" s="133"/>
      <c r="BZK92" s="133"/>
      <c r="BZL92" s="133"/>
      <c r="BZM92" s="133"/>
      <c r="BZN92" s="133"/>
      <c r="BZO92" s="133"/>
      <c r="BZP92" s="133"/>
      <c r="BZQ92" s="133"/>
      <c r="BZR92" s="133"/>
      <c r="BZS92" s="133"/>
      <c r="BZT92" s="133"/>
      <c r="BZU92" s="133"/>
      <c r="BZV92" s="133"/>
      <c r="BZW92" s="133"/>
      <c r="BZX92" s="133"/>
      <c r="BZY92" s="133"/>
      <c r="BZZ92" s="133"/>
      <c r="CAA92" s="133"/>
      <c r="CAB92" s="133"/>
      <c r="CAC92" s="133"/>
      <c r="CAD92" s="133"/>
      <c r="CAE92" s="133"/>
      <c r="CAF92" s="133"/>
      <c r="CAG92" s="133"/>
      <c r="CAH92" s="133"/>
      <c r="CAI92" s="133"/>
      <c r="CAJ92" s="133"/>
      <c r="CAK92" s="133"/>
      <c r="CAL92" s="133"/>
      <c r="CAM92" s="133"/>
      <c r="CAN92" s="133"/>
      <c r="CAO92" s="133"/>
      <c r="CAP92" s="133"/>
      <c r="CAQ92" s="133"/>
      <c r="CAR92" s="133"/>
      <c r="CAS92" s="133"/>
      <c r="CAT92" s="133"/>
      <c r="CAU92" s="133"/>
      <c r="CAV92" s="133"/>
      <c r="CAW92" s="133"/>
      <c r="CAX92" s="133"/>
      <c r="CAY92" s="133"/>
      <c r="CAZ92" s="133"/>
      <c r="CBA92" s="133"/>
      <c r="CBB92" s="133"/>
      <c r="CBC92" s="133"/>
      <c r="CBD92" s="133"/>
      <c r="CBE92" s="133"/>
      <c r="CBF92" s="133"/>
      <c r="CBG92" s="133"/>
      <c r="CBH92" s="133"/>
      <c r="CBI92" s="133"/>
      <c r="CBJ92" s="133"/>
      <c r="CBK92" s="133"/>
      <c r="CBL92" s="133"/>
      <c r="CBM92" s="133"/>
      <c r="CBN92" s="133"/>
      <c r="CBO92" s="133"/>
      <c r="CBP92" s="133"/>
      <c r="CBQ92" s="133"/>
      <c r="CBR92" s="133"/>
      <c r="CBS92" s="133"/>
      <c r="CBT92" s="133"/>
      <c r="CBU92" s="133"/>
      <c r="CBV92" s="133"/>
      <c r="CBW92" s="133"/>
      <c r="CBX92" s="133"/>
      <c r="CBY92" s="133"/>
      <c r="CBZ92" s="133"/>
      <c r="CCA92" s="133"/>
      <c r="CCB92" s="133"/>
      <c r="CCC92" s="133"/>
      <c r="CCD92" s="133"/>
      <c r="CCE92" s="133"/>
      <c r="CCF92" s="133"/>
      <c r="CCG92" s="133"/>
      <c r="CCH92" s="133"/>
      <c r="CCI92" s="133"/>
      <c r="CCJ92" s="133"/>
      <c r="CCK92" s="133"/>
      <c r="CCL92" s="133"/>
      <c r="CCM92" s="133"/>
      <c r="CCN92" s="133"/>
      <c r="CCO92" s="133"/>
      <c r="CCP92" s="133"/>
      <c r="CCQ92" s="133"/>
      <c r="CCR92" s="133"/>
      <c r="CCS92" s="133"/>
      <c r="CCT92" s="133"/>
      <c r="CCU92" s="133"/>
      <c r="CCV92" s="133"/>
      <c r="CCW92" s="133"/>
      <c r="CCX92" s="133"/>
      <c r="CCY92" s="133"/>
      <c r="CCZ92" s="133"/>
      <c r="CDA92" s="133"/>
      <c r="CDB92" s="133"/>
      <c r="CDC92" s="133"/>
      <c r="CDD92" s="133"/>
      <c r="CDE92" s="133"/>
      <c r="CDF92" s="133"/>
      <c r="CDG92" s="133"/>
      <c r="CDH92" s="133"/>
      <c r="CDI92" s="133"/>
      <c r="CDJ92" s="133"/>
      <c r="CDK92" s="133"/>
      <c r="CDL92" s="133"/>
      <c r="CDM92" s="133"/>
      <c r="CDN92" s="133"/>
      <c r="CDO92" s="133"/>
      <c r="CDP92" s="133"/>
      <c r="CDQ92" s="133"/>
      <c r="CDR92" s="133"/>
      <c r="CDS92" s="133"/>
      <c r="CDT92" s="133"/>
      <c r="CDU92" s="133"/>
      <c r="CDV92" s="133"/>
      <c r="CDW92" s="133"/>
      <c r="CDX92" s="133"/>
      <c r="CDY92" s="133"/>
      <c r="CDZ92" s="133"/>
      <c r="CEA92" s="133"/>
      <c r="CEB92" s="133"/>
      <c r="CEC92" s="133"/>
      <c r="CED92" s="133"/>
      <c r="CEE92" s="133"/>
      <c r="CEF92" s="133"/>
      <c r="CEG92" s="133"/>
      <c r="CEH92" s="133"/>
      <c r="CEI92" s="133"/>
      <c r="CEJ92" s="133"/>
      <c r="CEK92" s="133"/>
      <c r="CEL92" s="133"/>
      <c r="CEM92" s="133"/>
      <c r="CEN92" s="133"/>
      <c r="CEO92" s="133"/>
      <c r="CEP92" s="133"/>
      <c r="CEQ92" s="133"/>
      <c r="CER92" s="133"/>
      <c r="CES92" s="133"/>
      <c r="CET92" s="133"/>
      <c r="CEU92" s="133"/>
      <c r="CEV92" s="133"/>
      <c r="CEW92" s="133"/>
      <c r="CEX92" s="133"/>
      <c r="CEY92" s="133"/>
      <c r="CEZ92" s="133"/>
      <c r="CFA92" s="133"/>
      <c r="CFB92" s="133"/>
      <c r="CFC92" s="133"/>
      <c r="CFD92" s="133"/>
      <c r="CFE92" s="133"/>
      <c r="CFF92" s="133"/>
      <c r="CFG92" s="133"/>
      <c r="CFH92" s="133"/>
      <c r="CFI92" s="133"/>
      <c r="CFJ92" s="133"/>
      <c r="CFK92" s="133"/>
      <c r="CFL92" s="133"/>
      <c r="CFM92" s="133"/>
      <c r="CFN92" s="133"/>
      <c r="CFO92" s="133"/>
      <c r="CFP92" s="133"/>
      <c r="CFQ92" s="133"/>
      <c r="CFR92" s="133"/>
      <c r="CFS92" s="133"/>
      <c r="CFT92" s="133"/>
      <c r="CFU92" s="133"/>
      <c r="CFV92" s="133"/>
      <c r="CFW92" s="133"/>
      <c r="CFX92" s="133"/>
      <c r="CFY92" s="133"/>
      <c r="CFZ92" s="133"/>
      <c r="CGA92" s="133"/>
      <c r="CGB92" s="133"/>
      <c r="CGC92" s="133"/>
      <c r="CGD92" s="133"/>
      <c r="CGE92" s="133"/>
      <c r="CGF92" s="133"/>
      <c r="CGG92" s="133"/>
      <c r="CGH92" s="133"/>
      <c r="CGI92" s="133"/>
      <c r="CGJ92" s="133"/>
      <c r="CGK92" s="133"/>
      <c r="CGL92" s="133"/>
      <c r="CGM92" s="133"/>
      <c r="CGN92" s="133"/>
      <c r="CGO92" s="133"/>
      <c r="CGP92" s="133"/>
      <c r="CGQ92" s="133"/>
      <c r="CGR92" s="133"/>
      <c r="CGS92" s="133"/>
      <c r="CGT92" s="133"/>
      <c r="CGU92" s="133"/>
      <c r="CGV92" s="133"/>
      <c r="CGW92" s="133"/>
      <c r="CGX92" s="133"/>
      <c r="CGY92" s="133"/>
      <c r="CGZ92" s="133"/>
      <c r="CHA92" s="133"/>
      <c r="CHB92" s="133"/>
      <c r="CHC92" s="133"/>
      <c r="CHD92" s="133"/>
      <c r="CHE92" s="133"/>
      <c r="CHF92" s="133"/>
      <c r="CHG92" s="133"/>
      <c r="CHH92" s="133"/>
      <c r="CHI92" s="133"/>
      <c r="CHJ92" s="133"/>
      <c r="CHK92" s="133"/>
      <c r="CHL92" s="133"/>
      <c r="CHM92" s="133"/>
      <c r="CHN92" s="133"/>
      <c r="CHO92" s="133"/>
      <c r="CHP92" s="133"/>
      <c r="CHQ92" s="133"/>
      <c r="CHR92" s="133"/>
      <c r="CHS92" s="133"/>
      <c r="CHT92" s="133"/>
      <c r="CHU92" s="133"/>
      <c r="CHV92" s="133"/>
      <c r="CHW92" s="133"/>
      <c r="CHX92" s="133"/>
      <c r="CHY92" s="133"/>
      <c r="CHZ92" s="133"/>
      <c r="CIA92" s="133"/>
      <c r="CIB92" s="133"/>
      <c r="CIC92" s="133"/>
      <c r="CID92" s="133"/>
      <c r="CIE92" s="133"/>
      <c r="CIF92" s="133"/>
      <c r="CIG92" s="133"/>
      <c r="CIH92" s="133"/>
      <c r="CII92" s="133"/>
      <c r="CIJ92" s="133"/>
      <c r="CIK92" s="133"/>
      <c r="CIL92" s="133"/>
      <c r="CIM92" s="133"/>
      <c r="CIN92" s="133"/>
      <c r="CIO92" s="133"/>
      <c r="CIP92" s="133"/>
      <c r="CIQ92" s="133"/>
      <c r="CIR92" s="133"/>
      <c r="CIS92" s="133"/>
      <c r="CIT92" s="133"/>
      <c r="CIU92" s="133"/>
      <c r="CIV92" s="133"/>
      <c r="CIW92" s="133"/>
      <c r="CIX92" s="133"/>
      <c r="CIY92" s="133"/>
      <c r="CIZ92" s="133"/>
      <c r="CJA92" s="133"/>
      <c r="CJB92" s="133"/>
      <c r="CJC92" s="133"/>
      <c r="CJD92" s="133"/>
      <c r="CJE92" s="133"/>
      <c r="CJF92" s="133"/>
      <c r="CJG92" s="133"/>
      <c r="CJH92" s="133"/>
      <c r="CJI92" s="133"/>
      <c r="CJJ92" s="133"/>
      <c r="CJK92" s="133"/>
      <c r="CJL92" s="133"/>
      <c r="CJM92" s="133"/>
      <c r="CJN92" s="133"/>
      <c r="CJO92" s="133"/>
      <c r="CJP92" s="133"/>
      <c r="CJQ92" s="133"/>
      <c r="CJR92" s="133"/>
      <c r="CJS92" s="133"/>
      <c r="CJT92" s="133"/>
      <c r="CJU92" s="133"/>
      <c r="CJV92" s="133"/>
      <c r="CJW92" s="133"/>
      <c r="CJX92" s="133"/>
      <c r="CJY92" s="133"/>
      <c r="CJZ92" s="133"/>
      <c r="CKA92" s="133"/>
      <c r="CKB92" s="133"/>
      <c r="CKC92" s="133"/>
      <c r="CKD92" s="133"/>
      <c r="CKE92" s="133"/>
      <c r="CKF92" s="133"/>
      <c r="CKG92" s="133"/>
      <c r="CKH92" s="133"/>
      <c r="CKI92" s="133"/>
      <c r="CKJ92" s="133"/>
      <c r="CKK92" s="133"/>
      <c r="CKL92" s="133"/>
      <c r="CKM92" s="133"/>
      <c r="CKN92" s="133"/>
      <c r="CKO92" s="133"/>
      <c r="CKP92" s="133"/>
      <c r="CKQ92" s="133"/>
      <c r="CKR92" s="133"/>
      <c r="CKS92" s="133"/>
      <c r="CKT92" s="133"/>
      <c r="CKU92" s="133"/>
      <c r="CKV92" s="133"/>
      <c r="CKW92" s="133"/>
      <c r="CKX92" s="133"/>
      <c r="CKY92" s="133"/>
      <c r="CKZ92" s="133"/>
      <c r="CLA92" s="133"/>
      <c r="CLB92" s="133"/>
      <c r="CLC92" s="133"/>
      <c r="CLD92" s="133"/>
      <c r="CLE92" s="133"/>
      <c r="CLF92" s="133"/>
      <c r="CLG92" s="133"/>
      <c r="CLH92" s="133"/>
      <c r="CLI92" s="133"/>
      <c r="CLJ92" s="133"/>
      <c r="CLK92" s="133"/>
      <c r="CLL92" s="133"/>
      <c r="CLM92" s="133"/>
      <c r="CLN92" s="133"/>
      <c r="CLO92" s="133"/>
      <c r="CLP92" s="133"/>
      <c r="CLQ92" s="133"/>
      <c r="CLR92" s="133"/>
      <c r="CLS92" s="133"/>
      <c r="CLT92" s="133"/>
      <c r="CLU92" s="133"/>
      <c r="CLV92" s="133"/>
      <c r="CLW92" s="133"/>
      <c r="CLX92" s="133"/>
      <c r="CLY92" s="133"/>
      <c r="CLZ92" s="133"/>
      <c r="CMA92" s="133"/>
      <c r="CMB92" s="133"/>
      <c r="CMC92" s="133"/>
      <c r="CMD92" s="133"/>
      <c r="CME92" s="133"/>
      <c r="CMF92" s="133"/>
      <c r="CMG92" s="133"/>
      <c r="CMH92" s="133"/>
      <c r="CMI92" s="133"/>
      <c r="CMJ92" s="133"/>
      <c r="CMK92" s="133"/>
      <c r="CML92" s="133"/>
      <c r="CMM92" s="133"/>
      <c r="CMN92" s="133"/>
      <c r="CMO92" s="133"/>
      <c r="CMP92" s="133"/>
      <c r="CMQ92" s="133"/>
      <c r="CMR92" s="133"/>
      <c r="CMS92" s="133"/>
      <c r="CMT92" s="133"/>
      <c r="CMU92" s="133"/>
      <c r="CMV92" s="133"/>
      <c r="CMW92" s="133"/>
      <c r="CMX92" s="133"/>
      <c r="CMY92" s="133"/>
      <c r="CMZ92" s="133"/>
      <c r="CNA92" s="133"/>
      <c r="CNB92" s="133"/>
      <c r="CNC92" s="133"/>
      <c r="CND92" s="133"/>
      <c r="CNE92" s="133"/>
      <c r="CNF92" s="133"/>
      <c r="CNG92" s="133"/>
      <c r="CNH92" s="133"/>
      <c r="CNI92" s="133"/>
      <c r="CNJ92" s="133"/>
      <c r="CNK92" s="133"/>
      <c r="CNL92" s="133"/>
      <c r="CNM92" s="133"/>
      <c r="CNN92" s="133"/>
      <c r="CNO92" s="133"/>
      <c r="CNP92" s="133"/>
      <c r="CNQ92" s="133"/>
      <c r="CNR92" s="133"/>
      <c r="CNS92" s="133"/>
      <c r="CNT92" s="133"/>
      <c r="CNU92" s="133"/>
      <c r="CNV92" s="133"/>
      <c r="CNW92" s="133"/>
      <c r="CNX92" s="133"/>
      <c r="CNY92" s="133"/>
      <c r="CNZ92" s="133"/>
      <c r="COA92" s="133"/>
      <c r="COB92" s="133"/>
      <c r="COC92" s="133"/>
      <c r="COD92" s="133"/>
      <c r="COE92" s="133"/>
      <c r="COF92" s="133"/>
      <c r="COG92" s="133"/>
      <c r="COH92" s="133"/>
      <c r="COI92" s="133"/>
      <c r="COJ92" s="133"/>
      <c r="COK92" s="133"/>
      <c r="COL92" s="133"/>
      <c r="COM92" s="133"/>
      <c r="CON92" s="133"/>
      <c r="COO92" s="133"/>
      <c r="COP92" s="133"/>
      <c r="COQ92" s="133"/>
      <c r="COR92" s="133"/>
      <c r="COS92" s="133"/>
      <c r="COT92" s="133"/>
      <c r="COU92" s="133"/>
      <c r="COV92" s="133"/>
      <c r="COW92" s="133"/>
      <c r="COX92" s="133"/>
      <c r="COY92" s="133"/>
      <c r="COZ92" s="133"/>
      <c r="CPA92" s="133"/>
      <c r="CPB92" s="133"/>
      <c r="CPC92" s="133"/>
      <c r="CPD92" s="133"/>
      <c r="CPE92" s="133"/>
      <c r="CPF92" s="133"/>
      <c r="CPG92" s="133"/>
      <c r="CPH92" s="133"/>
      <c r="CPI92" s="133"/>
      <c r="CPJ92" s="133"/>
      <c r="CPK92" s="133"/>
      <c r="CPL92" s="133"/>
      <c r="CPM92" s="133"/>
      <c r="CPN92" s="133"/>
      <c r="CPO92" s="133"/>
      <c r="CPP92" s="133"/>
      <c r="CPQ92" s="133"/>
      <c r="CPR92" s="133"/>
      <c r="CPS92" s="133"/>
      <c r="CPT92" s="133"/>
      <c r="CPU92" s="133"/>
      <c r="CPV92" s="133"/>
      <c r="CPW92" s="133"/>
      <c r="CPX92" s="133"/>
      <c r="CPY92" s="133"/>
      <c r="CPZ92" s="133"/>
      <c r="CQA92" s="133"/>
      <c r="CQB92" s="133"/>
      <c r="CQC92" s="133"/>
      <c r="CQD92" s="133"/>
      <c r="CQE92" s="133"/>
      <c r="CQF92" s="133"/>
      <c r="CQG92" s="133"/>
      <c r="CQH92" s="133"/>
      <c r="CQI92" s="133"/>
      <c r="CQJ92" s="133"/>
      <c r="CQK92" s="133"/>
      <c r="CQL92" s="133"/>
      <c r="CQM92" s="133"/>
      <c r="CQN92" s="133"/>
      <c r="CQO92" s="133"/>
      <c r="CQP92" s="133"/>
      <c r="CQQ92" s="133"/>
      <c r="CQR92" s="133"/>
      <c r="CQS92" s="133"/>
      <c r="CQT92" s="133"/>
      <c r="CQU92" s="133"/>
      <c r="CQV92" s="133"/>
      <c r="CQW92" s="133"/>
      <c r="CQX92" s="133"/>
      <c r="CQY92" s="133"/>
      <c r="CQZ92" s="133"/>
      <c r="CRA92" s="133"/>
      <c r="CRB92" s="133"/>
      <c r="CRC92" s="133"/>
      <c r="CRD92" s="133"/>
      <c r="CRE92" s="133"/>
      <c r="CRF92" s="133"/>
      <c r="CRG92" s="133"/>
      <c r="CRH92" s="133"/>
      <c r="CRI92" s="133"/>
      <c r="CRJ92" s="133"/>
      <c r="CRK92" s="133"/>
      <c r="CRL92" s="133"/>
      <c r="CRM92" s="133"/>
      <c r="CRN92" s="133"/>
      <c r="CRO92" s="133"/>
      <c r="CRP92" s="133"/>
      <c r="CRQ92" s="133"/>
      <c r="CRR92" s="133"/>
      <c r="CRS92" s="133"/>
      <c r="CRT92" s="133"/>
      <c r="CRU92" s="133"/>
      <c r="CRV92" s="133"/>
      <c r="CRW92" s="133"/>
      <c r="CRX92" s="133"/>
      <c r="CRY92" s="133"/>
      <c r="CRZ92" s="133"/>
      <c r="CSA92" s="133"/>
      <c r="CSB92" s="133"/>
      <c r="CSC92" s="133"/>
      <c r="CSD92" s="133"/>
      <c r="CSE92" s="133"/>
      <c r="CSF92" s="133"/>
      <c r="CSG92" s="133"/>
      <c r="CSH92" s="133"/>
      <c r="CSI92" s="133"/>
      <c r="CSJ92" s="133"/>
      <c r="CSK92" s="133"/>
      <c r="CSL92" s="133"/>
      <c r="CSM92" s="133"/>
      <c r="CSN92" s="133"/>
      <c r="CSO92" s="133"/>
      <c r="CSP92" s="133"/>
      <c r="CSQ92" s="133"/>
      <c r="CSR92" s="133"/>
      <c r="CSS92" s="133"/>
      <c r="CST92" s="133"/>
      <c r="CSU92" s="133"/>
      <c r="CSV92" s="133"/>
      <c r="CSW92" s="133"/>
      <c r="CSX92" s="133"/>
      <c r="CSY92" s="133"/>
      <c r="CSZ92" s="133"/>
      <c r="CTA92" s="133"/>
      <c r="CTB92" s="133"/>
      <c r="CTC92" s="133"/>
      <c r="CTD92" s="133"/>
      <c r="CTE92" s="133"/>
      <c r="CTF92" s="133"/>
      <c r="CTG92" s="133"/>
      <c r="CTH92" s="133"/>
      <c r="CTI92" s="133"/>
      <c r="CTJ92" s="133"/>
      <c r="CTK92" s="133"/>
      <c r="CTL92" s="133"/>
      <c r="CTM92" s="133"/>
      <c r="CTN92" s="133"/>
      <c r="CTO92" s="133"/>
      <c r="CTP92" s="133"/>
      <c r="CTQ92" s="133"/>
      <c r="CTR92" s="133"/>
      <c r="CTS92" s="133"/>
      <c r="CTT92" s="133"/>
      <c r="CTU92" s="133"/>
      <c r="CTV92" s="133"/>
      <c r="CTW92" s="133"/>
      <c r="CTX92" s="133"/>
      <c r="CTY92" s="133"/>
      <c r="CTZ92" s="133"/>
      <c r="CUA92" s="133"/>
      <c r="CUB92" s="133"/>
      <c r="CUC92" s="133"/>
      <c r="CUD92" s="133"/>
      <c r="CUE92" s="133"/>
      <c r="CUF92" s="133"/>
      <c r="CUG92" s="133"/>
      <c r="CUH92" s="133"/>
      <c r="CUI92" s="133"/>
      <c r="CUJ92" s="133"/>
      <c r="CUK92" s="133"/>
      <c r="CUL92" s="133"/>
      <c r="CUM92" s="133"/>
      <c r="CUN92" s="133"/>
      <c r="CUO92" s="133"/>
      <c r="CUP92" s="133"/>
      <c r="CUQ92" s="133"/>
      <c r="CUR92" s="133"/>
      <c r="CUS92" s="133"/>
      <c r="CUT92" s="133"/>
      <c r="CUU92" s="133"/>
      <c r="CUV92" s="133"/>
      <c r="CUW92" s="133"/>
      <c r="CUX92" s="133"/>
      <c r="CUY92" s="133"/>
      <c r="CUZ92" s="133"/>
      <c r="CVA92" s="133"/>
      <c r="CVB92" s="133"/>
      <c r="CVC92" s="133"/>
      <c r="CVD92" s="133"/>
      <c r="CVE92" s="133"/>
      <c r="CVF92" s="133"/>
      <c r="CVG92" s="133"/>
      <c r="CVH92" s="133"/>
      <c r="CVI92" s="133"/>
      <c r="CVJ92" s="133"/>
      <c r="CVK92" s="133"/>
      <c r="CVL92" s="133"/>
      <c r="CVM92" s="133"/>
      <c r="CVN92" s="133"/>
      <c r="CVO92" s="133"/>
      <c r="CVP92" s="133"/>
      <c r="CVQ92" s="133"/>
      <c r="CVR92" s="133"/>
      <c r="CVS92" s="133"/>
      <c r="CVT92" s="133"/>
      <c r="CVU92" s="133"/>
      <c r="CVV92" s="133"/>
      <c r="CVW92" s="133"/>
      <c r="CVX92" s="133"/>
      <c r="CVY92" s="133"/>
      <c r="CVZ92" s="133"/>
      <c r="CWA92" s="133"/>
      <c r="CWB92" s="133"/>
      <c r="CWC92" s="133"/>
      <c r="CWD92" s="133"/>
      <c r="CWE92" s="133"/>
      <c r="CWF92" s="133"/>
      <c r="CWG92" s="133"/>
      <c r="CWH92" s="133"/>
      <c r="CWI92" s="133"/>
      <c r="CWJ92" s="133"/>
      <c r="CWK92" s="133"/>
      <c r="CWL92" s="133"/>
      <c r="CWM92" s="133"/>
      <c r="CWN92" s="133"/>
      <c r="CWO92" s="133"/>
      <c r="CWP92" s="133"/>
      <c r="CWQ92" s="133"/>
      <c r="CWR92" s="133"/>
      <c r="CWS92" s="133"/>
      <c r="CWT92" s="133"/>
      <c r="CWU92" s="133"/>
      <c r="CWV92" s="133"/>
      <c r="CWW92" s="133"/>
      <c r="CWX92" s="133"/>
      <c r="CWY92" s="133"/>
      <c r="CWZ92" s="133"/>
      <c r="CXA92" s="133"/>
      <c r="CXB92" s="133"/>
      <c r="CXC92" s="133"/>
      <c r="CXD92" s="133"/>
      <c r="CXE92" s="133"/>
      <c r="CXF92" s="133"/>
      <c r="CXG92" s="133"/>
      <c r="CXH92" s="133"/>
      <c r="CXI92" s="133"/>
      <c r="CXJ92" s="133"/>
      <c r="CXK92" s="133"/>
      <c r="CXL92" s="133"/>
      <c r="CXM92" s="133"/>
      <c r="CXN92" s="133"/>
      <c r="CXO92" s="133"/>
      <c r="CXP92" s="133"/>
      <c r="CXQ92" s="133"/>
      <c r="CXR92" s="133"/>
      <c r="CXS92" s="133"/>
      <c r="CXT92" s="133"/>
      <c r="CXU92" s="133"/>
      <c r="CXV92" s="133"/>
      <c r="CXW92" s="133"/>
      <c r="CXX92" s="133"/>
      <c r="CXY92" s="133"/>
      <c r="CXZ92" s="133"/>
      <c r="CYA92" s="133"/>
      <c r="CYB92" s="133"/>
      <c r="CYC92" s="133"/>
      <c r="CYD92" s="133"/>
      <c r="CYE92" s="133"/>
      <c r="CYF92" s="133"/>
      <c r="CYG92" s="133"/>
      <c r="CYH92" s="133"/>
      <c r="CYI92" s="133"/>
      <c r="CYJ92" s="133"/>
      <c r="CYK92" s="133"/>
      <c r="CYL92" s="133"/>
      <c r="CYM92" s="133"/>
      <c r="CYN92" s="133"/>
      <c r="CYO92" s="133"/>
      <c r="CYP92" s="133"/>
      <c r="CYQ92" s="133"/>
      <c r="CYR92" s="133"/>
      <c r="CYS92" s="133"/>
      <c r="CYT92" s="133"/>
      <c r="CYU92" s="133"/>
      <c r="CYV92" s="133"/>
      <c r="CYW92" s="133"/>
      <c r="CYX92" s="133"/>
      <c r="CYY92" s="133"/>
      <c r="CYZ92" s="133"/>
      <c r="CZA92" s="133"/>
      <c r="CZB92" s="133"/>
      <c r="CZC92" s="133"/>
      <c r="CZD92" s="133"/>
      <c r="CZE92" s="133"/>
      <c r="CZF92" s="133"/>
      <c r="CZG92" s="133"/>
      <c r="CZH92" s="133"/>
      <c r="CZI92" s="133"/>
      <c r="CZJ92" s="133"/>
      <c r="CZK92" s="133"/>
      <c r="CZL92" s="133"/>
      <c r="CZM92" s="133"/>
      <c r="CZN92" s="133"/>
      <c r="CZO92" s="133"/>
      <c r="CZP92" s="133"/>
      <c r="CZQ92" s="133"/>
      <c r="CZR92" s="133"/>
      <c r="CZS92" s="133"/>
      <c r="CZT92" s="133"/>
      <c r="CZU92" s="133"/>
      <c r="CZV92" s="133"/>
      <c r="CZW92" s="133"/>
      <c r="CZX92" s="133"/>
      <c r="CZY92" s="133"/>
      <c r="CZZ92" s="133"/>
      <c r="DAA92" s="133"/>
      <c r="DAB92" s="133"/>
      <c r="DAC92" s="133"/>
      <c r="DAD92" s="133"/>
      <c r="DAE92" s="133"/>
      <c r="DAF92" s="133"/>
      <c r="DAG92" s="133"/>
      <c r="DAH92" s="133"/>
      <c r="DAI92" s="133"/>
      <c r="DAJ92" s="133"/>
      <c r="DAK92" s="133"/>
      <c r="DAL92" s="133"/>
      <c r="DAM92" s="133"/>
      <c r="DAN92" s="133"/>
      <c r="DAO92" s="133"/>
      <c r="DAP92" s="133"/>
      <c r="DAQ92" s="133"/>
      <c r="DAR92" s="133"/>
      <c r="DAS92" s="133"/>
      <c r="DAT92" s="133"/>
      <c r="DAU92" s="133"/>
      <c r="DAV92" s="133"/>
      <c r="DAW92" s="133"/>
      <c r="DAX92" s="133"/>
      <c r="DAY92" s="133"/>
      <c r="DAZ92" s="133"/>
      <c r="DBA92" s="133"/>
      <c r="DBB92" s="133"/>
      <c r="DBC92" s="133"/>
      <c r="DBD92" s="133"/>
      <c r="DBE92" s="133"/>
      <c r="DBF92" s="133"/>
      <c r="DBG92" s="133"/>
      <c r="DBH92" s="133"/>
      <c r="DBI92" s="133"/>
      <c r="DBJ92" s="133"/>
      <c r="DBK92" s="133"/>
      <c r="DBL92" s="133"/>
      <c r="DBM92" s="133"/>
      <c r="DBN92" s="133"/>
      <c r="DBO92" s="133"/>
      <c r="DBP92" s="133"/>
      <c r="DBQ92" s="133"/>
      <c r="DBR92" s="133"/>
      <c r="DBS92" s="133"/>
      <c r="DBT92" s="133"/>
      <c r="DBU92" s="133"/>
      <c r="DBV92" s="133"/>
      <c r="DBW92" s="133"/>
      <c r="DBX92" s="133"/>
      <c r="DBY92" s="133"/>
      <c r="DBZ92" s="133"/>
      <c r="DCA92" s="133"/>
      <c r="DCB92" s="133"/>
      <c r="DCC92" s="133"/>
      <c r="DCD92" s="133"/>
      <c r="DCE92" s="133"/>
      <c r="DCF92" s="133"/>
      <c r="DCG92" s="133"/>
      <c r="DCH92" s="133"/>
      <c r="DCI92" s="133"/>
      <c r="DCJ92" s="133"/>
      <c r="DCK92" s="133"/>
      <c r="DCL92" s="133"/>
      <c r="DCM92" s="133"/>
      <c r="DCN92" s="133"/>
      <c r="DCO92" s="133"/>
      <c r="DCP92" s="133"/>
      <c r="DCQ92" s="133"/>
      <c r="DCR92" s="133"/>
      <c r="DCS92" s="133"/>
      <c r="DCT92" s="133"/>
      <c r="DCU92" s="133"/>
      <c r="DCV92" s="133"/>
      <c r="DCW92" s="133"/>
      <c r="DCX92" s="133"/>
      <c r="DCY92" s="133"/>
      <c r="DCZ92" s="133"/>
      <c r="DDA92" s="133"/>
      <c r="DDB92" s="133"/>
      <c r="DDC92" s="133"/>
      <c r="DDD92" s="133"/>
      <c r="DDE92" s="133"/>
      <c r="DDF92" s="133"/>
      <c r="DDG92" s="133"/>
      <c r="DDH92" s="133"/>
      <c r="DDI92" s="133"/>
      <c r="DDJ92" s="133"/>
      <c r="DDK92" s="133"/>
      <c r="DDL92" s="133"/>
      <c r="DDM92" s="133"/>
      <c r="DDN92" s="133"/>
      <c r="DDO92" s="133"/>
      <c r="DDP92" s="133"/>
      <c r="DDQ92" s="133"/>
      <c r="DDR92" s="133"/>
      <c r="DDS92" s="133"/>
      <c r="DDT92" s="133"/>
      <c r="DDU92" s="133"/>
      <c r="DDV92" s="133"/>
      <c r="DDW92" s="133"/>
      <c r="DDX92" s="133"/>
      <c r="DDY92" s="133"/>
      <c r="DDZ92" s="133"/>
      <c r="DEA92" s="133"/>
      <c r="DEB92" s="133"/>
      <c r="DEC92" s="133"/>
      <c r="DED92" s="133"/>
      <c r="DEE92" s="133"/>
      <c r="DEF92" s="133"/>
      <c r="DEG92" s="133"/>
      <c r="DEH92" s="133"/>
      <c r="DEI92" s="133"/>
      <c r="DEJ92" s="133"/>
      <c r="DEK92" s="133"/>
      <c r="DEL92" s="133"/>
      <c r="DEM92" s="133"/>
      <c r="DEN92" s="133"/>
      <c r="DEO92" s="133"/>
      <c r="DEP92" s="133"/>
      <c r="DEQ92" s="133"/>
      <c r="DER92" s="133"/>
      <c r="DES92" s="133"/>
      <c r="DET92" s="133"/>
      <c r="DEU92" s="133"/>
      <c r="DEV92" s="133"/>
      <c r="DEW92" s="133"/>
      <c r="DEX92" s="133"/>
      <c r="DEY92" s="133"/>
      <c r="DEZ92" s="133"/>
      <c r="DFA92" s="133"/>
      <c r="DFB92" s="133"/>
      <c r="DFC92" s="133"/>
      <c r="DFD92" s="133"/>
      <c r="DFE92" s="133"/>
      <c r="DFF92" s="133"/>
      <c r="DFG92" s="133"/>
      <c r="DFH92" s="133"/>
      <c r="DFI92" s="133"/>
      <c r="DFJ92" s="133"/>
      <c r="DFK92" s="133"/>
      <c r="DFL92" s="133"/>
      <c r="DFM92" s="133"/>
      <c r="DFN92" s="133"/>
      <c r="DFO92" s="133"/>
      <c r="DFP92" s="133"/>
      <c r="DFQ92" s="133"/>
      <c r="DFR92" s="133"/>
      <c r="DFS92" s="133"/>
      <c r="DFT92" s="133"/>
      <c r="DFU92" s="133"/>
      <c r="DFV92" s="133"/>
      <c r="DFW92" s="133"/>
      <c r="DFX92" s="133"/>
      <c r="DFY92" s="133"/>
      <c r="DFZ92" s="133"/>
      <c r="DGA92" s="133"/>
      <c r="DGB92" s="133"/>
      <c r="DGC92" s="133"/>
      <c r="DGD92" s="133"/>
      <c r="DGE92" s="133"/>
      <c r="DGF92" s="133"/>
      <c r="DGG92" s="133"/>
      <c r="DGH92" s="133"/>
      <c r="DGI92" s="133"/>
      <c r="DGJ92" s="133"/>
      <c r="DGK92" s="133"/>
      <c r="DGL92" s="133"/>
      <c r="DGM92" s="133"/>
      <c r="DGN92" s="133"/>
      <c r="DGO92" s="133"/>
      <c r="DGP92" s="133"/>
      <c r="DGQ92" s="133"/>
      <c r="DGR92" s="133"/>
      <c r="DGS92" s="133"/>
      <c r="DGT92" s="133"/>
      <c r="DGU92" s="133"/>
      <c r="DGV92" s="133"/>
      <c r="DGW92" s="133"/>
      <c r="DGX92" s="133"/>
      <c r="DGY92" s="133"/>
      <c r="DGZ92" s="133"/>
      <c r="DHA92" s="133"/>
      <c r="DHB92" s="133"/>
      <c r="DHC92" s="133"/>
      <c r="DHD92" s="133"/>
      <c r="DHE92" s="133"/>
      <c r="DHF92" s="133"/>
      <c r="DHG92" s="133"/>
      <c r="DHH92" s="133"/>
      <c r="DHI92" s="133"/>
      <c r="DHJ92" s="133"/>
      <c r="DHK92" s="133"/>
      <c r="DHL92" s="133"/>
      <c r="DHM92" s="133"/>
      <c r="DHN92" s="133"/>
      <c r="DHO92" s="133"/>
      <c r="DHP92" s="133"/>
      <c r="DHQ92" s="133"/>
      <c r="DHR92" s="133"/>
      <c r="DHS92" s="133"/>
      <c r="DHT92" s="133"/>
      <c r="DHU92" s="133"/>
      <c r="DHV92" s="133"/>
      <c r="DHW92" s="133"/>
      <c r="DHX92" s="133"/>
      <c r="DHY92" s="133"/>
      <c r="DHZ92" s="133"/>
      <c r="DIA92" s="133"/>
      <c r="DIB92" s="133"/>
      <c r="DIC92" s="133"/>
      <c r="DID92" s="133"/>
      <c r="DIE92" s="133"/>
      <c r="DIF92" s="133"/>
      <c r="DIG92" s="133"/>
      <c r="DIH92" s="133"/>
      <c r="DII92" s="133"/>
      <c r="DIJ92" s="133"/>
      <c r="DIK92" s="133"/>
      <c r="DIL92" s="133"/>
      <c r="DIM92" s="133"/>
      <c r="DIN92" s="133"/>
      <c r="DIO92" s="133"/>
      <c r="DIP92" s="133"/>
      <c r="DIQ92" s="133"/>
      <c r="DIR92" s="133"/>
      <c r="DIS92" s="133"/>
      <c r="DIT92" s="133"/>
      <c r="DIU92" s="133"/>
      <c r="DIV92" s="133"/>
      <c r="DIW92" s="133"/>
      <c r="DIX92" s="133"/>
      <c r="DIY92" s="133"/>
      <c r="DIZ92" s="133"/>
      <c r="DJA92" s="133"/>
      <c r="DJB92" s="133"/>
      <c r="DJC92" s="133"/>
      <c r="DJD92" s="133"/>
      <c r="DJE92" s="133"/>
      <c r="DJF92" s="133"/>
      <c r="DJG92" s="133"/>
      <c r="DJH92" s="133"/>
      <c r="DJI92" s="133"/>
      <c r="DJJ92" s="133"/>
      <c r="DJK92" s="133"/>
      <c r="DJL92" s="133"/>
      <c r="DJM92" s="133"/>
      <c r="DJN92" s="133"/>
      <c r="DJO92" s="133"/>
      <c r="DJP92" s="133"/>
      <c r="DJQ92" s="133"/>
      <c r="DJR92" s="133"/>
      <c r="DJS92" s="133"/>
      <c r="DJT92" s="133"/>
      <c r="DJU92" s="133"/>
      <c r="DJV92" s="133"/>
      <c r="DJW92" s="133"/>
      <c r="DJX92" s="133"/>
      <c r="DJY92" s="133"/>
      <c r="DJZ92" s="133"/>
      <c r="DKA92" s="133"/>
      <c r="DKB92" s="133"/>
      <c r="DKC92" s="133"/>
      <c r="DKD92" s="133"/>
      <c r="DKE92" s="133"/>
      <c r="DKF92" s="133"/>
      <c r="DKG92" s="133"/>
      <c r="DKH92" s="133"/>
      <c r="DKI92" s="133"/>
      <c r="DKJ92" s="133"/>
      <c r="DKK92" s="133"/>
      <c r="DKL92" s="133"/>
      <c r="DKM92" s="133"/>
      <c r="DKN92" s="133"/>
      <c r="DKO92" s="133"/>
      <c r="DKP92" s="133"/>
      <c r="DKQ92" s="133"/>
      <c r="DKR92" s="133"/>
      <c r="DKS92" s="133"/>
      <c r="DKT92" s="133"/>
      <c r="DKU92" s="133"/>
      <c r="DKV92" s="133"/>
      <c r="DKW92" s="133"/>
      <c r="DKX92" s="133"/>
      <c r="DKY92" s="133"/>
      <c r="DKZ92" s="133"/>
      <c r="DLA92" s="133"/>
      <c r="DLB92" s="133"/>
      <c r="DLC92" s="133"/>
      <c r="DLD92" s="133"/>
      <c r="DLE92" s="133"/>
      <c r="DLF92" s="133"/>
      <c r="DLG92" s="133"/>
      <c r="DLH92" s="133"/>
      <c r="DLI92" s="133"/>
      <c r="DLJ92" s="133"/>
      <c r="DLK92" s="133"/>
      <c r="DLL92" s="133"/>
      <c r="DLM92" s="133"/>
      <c r="DLN92" s="133"/>
      <c r="DLO92" s="133"/>
      <c r="DLP92" s="133"/>
      <c r="DLQ92" s="133"/>
      <c r="DLR92" s="133"/>
      <c r="DLS92" s="133"/>
      <c r="DLT92" s="133"/>
      <c r="DLU92" s="133"/>
      <c r="DLV92" s="133"/>
      <c r="DLW92" s="133"/>
      <c r="DLX92" s="133"/>
      <c r="DLY92" s="133"/>
      <c r="DLZ92" s="133"/>
      <c r="DMA92" s="133"/>
      <c r="DMB92" s="133"/>
      <c r="DMC92" s="133"/>
      <c r="DMD92" s="133"/>
      <c r="DME92" s="133"/>
      <c r="DMF92" s="133"/>
      <c r="DMG92" s="133"/>
      <c r="DMH92" s="133"/>
      <c r="DMI92" s="133"/>
      <c r="DMJ92" s="133"/>
      <c r="DMK92" s="133"/>
      <c r="DML92" s="133"/>
      <c r="DMM92" s="133"/>
      <c r="DMN92" s="133"/>
      <c r="DMO92" s="133"/>
      <c r="DMP92" s="133"/>
      <c r="DMQ92" s="133"/>
      <c r="DMR92" s="133"/>
      <c r="DMS92" s="133"/>
      <c r="DMT92" s="133"/>
      <c r="DMU92" s="133"/>
      <c r="DMV92" s="133"/>
      <c r="DMW92" s="133"/>
      <c r="DMX92" s="133"/>
      <c r="DMY92" s="133"/>
      <c r="DMZ92" s="133"/>
      <c r="DNA92" s="133"/>
      <c r="DNB92" s="133"/>
      <c r="DNC92" s="133"/>
      <c r="DND92" s="133"/>
      <c r="DNE92" s="133"/>
      <c r="DNF92" s="133"/>
      <c r="DNG92" s="133"/>
      <c r="DNH92" s="133"/>
      <c r="DNI92" s="133"/>
      <c r="DNJ92" s="133"/>
      <c r="DNK92" s="133"/>
      <c r="DNL92" s="133"/>
      <c r="DNM92" s="133"/>
      <c r="DNN92" s="133"/>
      <c r="DNO92" s="133"/>
      <c r="DNP92" s="133"/>
      <c r="DNQ92" s="133"/>
      <c r="DNR92" s="133"/>
      <c r="DNS92" s="133"/>
      <c r="DNT92" s="133"/>
      <c r="DNU92" s="133"/>
      <c r="DNV92" s="133"/>
      <c r="DNW92" s="133"/>
      <c r="DNX92" s="133"/>
      <c r="DNY92" s="133"/>
      <c r="DNZ92" s="133"/>
      <c r="DOA92" s="133"/>
      <c r="DOB92" s="133"/>
      <c r="DOC92" s="133"/>
      <c r="DOD92" s="133"/>
      <c r="DOE92" s="133"/>
      <c r="DOF92" s="133"/>
      <c r="DOG92" s="133"/>
      <c r="DOH92" s="133"/>
      <c r="DOI92" s="133"/>
      <c r="DOJ92" s="133"/>
      <c r="DOK92" s="133"/>
      <c r="DOL92" s="133"/>
      <c r="DOM92" s="133"/>
      <c r="DON92" s="133"/>
      <c r="DOO92" s="133"/>
      <c r="DOP92" s="133"/>
      <c r="DOQ92" s="133"/>
      <c r="DOR92" s="133"/>
      <c r="DOS92" s="133"/>
      <c r="DOT92" s="133"/>
      <c r="DOU92" s="133"/>
      <c r="DOV92" s="133"/>
      <c r="DOW92" s="133"/>
      <c r="DOX92" s="133"/>
      <c r="DOY92" s="133"/>
      <c r="DOZ92" s="133"/>
      <c r="DPA92" s="133"/>
      <c r="DPB92" s="133"/>
      <c r="DPC92" s="133"/>
      <c r="DPD92" s="133"/>
      <c r="DPE92" s="133"/>
      <c r="DPF92" s="133"/>
      <c r="DPG92" s="133"/>
      <c r="DPH92" s="133"/>
      <c r="DPI92" s="133"/>
      <c r="DPJ92" s="133"/>
      <c r="DPK92" s="133"/>
      <c r="DPL92" s="133"/>
      <c r="DPM92" s="133"/>
      <c r="DPN92" s="133"/>
      <c r="DPO92" s="133"/>
      <c r="DPP92" s="133"/>
      <c r="DPQ92" s="133"/>
      <c r="DPR92" s="133"/>
      <c r="DPS92" s="133"/>
      <c r="DPT92" s="133"/>
      <c r="DPU92" s="133"/>
      <c r="DPV92" s="133"/>
      <c r="DPW92" s="133"/>
      <c r="DPX92" s="133"/>
      <c r="DPY92" s="133"/>
      <c r="DPZ92" s="133"/>
      <c r="DQA92" s="133"/>
      <c r="DQB92" s="133"/>
      <c r="DQC92" s="133"/>
      <c r="DQD92" s="133"/>
      <c r="DQE92" s="133"/>
      <c r="DQF92" s="133"/>
      <c r="DQG92" s="133"/>
      <c r="DQH92" s="133"/>
      <c r="DQI92" s="133"/>
      <c r="DQJ92" s="133"/>
      <c r="DQK92" s="133"/>
      <c r="DQL92" s="133"/>
      <c r="DQM92" s="133"/>
      <c r="DQN92" s="133"/>
      <c r="DQO92" s="133"/>
      <c r="DQP92" s="133"/>
      <c r="DQQ92" s="133"/>
      <c r="DQR92" s="133"/>
      <c r="DQS92" s="133"/>
      <c r="DQT92" s="133"/>
      <c r="DQU92" s="133"/>
      <c r="DQV92" s="133"/>
      <c r="DQW92" s="133"/>
      <c r="DQX92" s="133"/>
      <c r="DQY92" s="133"/>
      <c r="DQZ92" s="133"/>
      <c r="DRA92" s="133"/>
      <c r="DRB92" s="133"/>
      <c r="DRC92" s="133"/>
      <c r="DRD92" s="133"/>
      <c r="DRE92" s="133"/>
      <c r="DRF92" s="133"/>
      <c r="DRG92" s="133"/>
      <c r="DRH92" s="133"/>
      <c r="DRI92" s="133"/>
      <c r="DRJ92" s="133"/>
      <c r="DRK92" s="133"/>
      <c r="DRL92" s="133"/>
      <c r="DRM92" s="133"/>
      <c r="DRN92" s="133"/>
      <c r="DRO92" s="133"/>
      <c r="DRP92" s="133"/>
      <c r="DRQ92" s="133"/>
      <c r="DRR92" s="133"/>
      <c r="DRS92" s="133"/>
      <c r="DRT92" s="133"/>
      <c r="DRU92" s="133"/>
      <c r="DRV92" s="133"/>
      <c r="DRW92" s="133"/>
      <c r="DRX92" s="133"/>
      <c r="DRY92" s="133"/>
      <c r="DRZ92" s="133"/>
      <c r="DSA92" s="133"/>
      <c r="DSB92" s="133"/>
      <c r="DSC92" s="133"/>
      <c r="DSD92" s="133"/>
      <c r="DSE92" s="133"/>
      <c r="DSF92" s="133"/>
      <c r="DSG92" s="133"/>
      <c r="DSH92" s="133"/>
      <c r="DSI92" s="133"/>
      <c r="DSJ92" s="133"/>
      <c r="DSK92" s="133"/>
      <c r="DSL92" s="133"/>
      <c r="DSM92" s="133"/>
      <c r="DSN92" s="133"/>
      <c r="DSO92" s="133"/>
      <c r="DSP92" s="133"/>
      <c r="DSQ92" s="133"/>
      <c r="DSR92" s="133"/>
      <c r="DSS92" s="133"/>
      <c r="DST92" s="133"/>
      <c r="DSU92" s="133"/>
      <c r="DSV92" s="133"/>
      <c r="DSW92" s="133"/>
      <c r="DSX92" s="133"/>
      <c r="DSY92" s="133"/>
      <c r="DSZ92" s="133"/>
      <c r="DTA92" s="133"/>
      <c r="DTB92" s="133"/>
      <c r="DTC92" s="133"/>
      <c r="DTD92" s="133"/>
      <c r="DTE92" s="133"/>
      <c r="DTF92" s="133"/>
      <c r="DTG92" s="133"/>
      <c r="DTH92" s="133"/>
      <c r="DTI92" s="133"/>
      <c r="DTJ92" s="133"/>
      <c r="DTK92" s="133"/>
      <c r="DTL92" s="133"/>
      <c r="DTM92" s="133"/>
      <c r="DTN92" s="133"/>
      <c r="DTO92" s="133"/>
      <c r="DTP92" s="133"/>
      <c r="DTQ92" s="133"/>
      <c r="DTR92" s="133"/>
      <c r="DTS92" s="133"/>
      <c r="DTT92" s="133"/>
      <c r="DTU92" s="133"/>
      <c r="DTV92" s="133"/>
      <c r="DTW92" s="133"/>
      <c r="DTX92" s="133"/>
      <c r="DTY92" s="133"/>
      <c r="DTZ92" s="133"/>
      <c r="DUA92" s="133"/>
      <c r="DUB92" s="133"/>
      <c r="DUC92" s="133"/>
      <c r="DUD92" s="133"/>
      <c r="DUE92" s="133"/>
      <c r="DUF92" s="133"/>
      <c r="DUG92" s="133"/>
      <c r="DUH92" s="133"/>
      <c r="DUI92" s="133"/>
      <c r="DUJ92" s="133"/>
      <c r="DUK92" s="133"/>
      <c r="DUL92" s="133"/>
      <c r="DUM92" s="133"/>
      <c r="DUN92" s="133"/>
      <c r="DUO92" s="133"/>
      <c r="DUP92" s="133"/>
      <c r="DUQ92" s="133"/>
      <c r="DUR92" s="133"/>
      <c r="DUS92" s="133"/>
      <c r="DUT92" s="133"/>
      <c r="DUU92" s="133"/>
      <c r="DUV92" s="133"/>
      <c r="DUW92" s="133"/>
      <c r="DUX92" s="133"/>
      <c r="DUY92" s="133"/>
      <c r="DUZ92" s="133"/>
      <c r="DVA92" s="133"/>
      <c r="DVB92" s="133"/>
      <c r="DVC92" s="133"/>
      <c r="DVD92" s="133"/>
      <c r="DVE92" s="133"/>
      <c r="DVF92" s="133"/>
      <c r="DVG92" s="133"/>
      <c r="DVH92" s="133"/>
      <c r="DVI92" s="133"/>
      <c r="DVJ92" s="133"/>
      <c r="DVK92" s="133"/>
      <c r="DVL92" s="133"/>
      <c r="DVM92" s="133"/>
      <c r="DVN92" s="133"/>
      <c r="DVO92" s="133"/>
      <c r="DVP92" s="133"/>
      <c r="DVQ92" s="133"/>
      <c r="DVR92" s="133"/>
      <c r="DVS92" s="133"/>
      <c r="DVT92" s="133"/>
      <c r="DVU92" s="133"/>
      <c r="DVV92" s="133"/>
      <c r="DVW92" s="133"/>
      <c r="DVX92" s="133"/>
      <c r="DVY92" s="133"/>
      <c r="DVZ92" s="133"/>
      <c r="DWA92" s="133"/>
      <c r="DWB92" s="133"/>
      <c r="DWC92" s="133"/>
      <c r="DWD92" s="133"/>
      <c r="DWE92" s="133"/>
      <c r="DWF92" s="133"/>
      <c r="DWG92" s="133"/>
      <c r="DWH92" s="133"/>
      <c r="DWI92" s="133"/>
      <c r="DWJ92" s="133"/>
      <c r="DWK92" s="133"/>
      <c r="DWL92" s="133"/>
      <c r="DWM92" s="133"/>
      <c r="DWN92" s="133"/>
      <c r="DWO92" s="133"/>
      <c r="DWP92" s="133"/>
      <c r="DWQ92" s="133"/>
      <c r="DWR92" s="133"/>
      <c r="DWS92" s="133"/>
      <c r="DWT92" s="133"/>
      <c r="DWU92" s="133"/>
      <c r="DWV92" s="133"/>
      <c r="DWW92" s="133"/>
      <c r="DWX92" s="133"/>
      <c r="DWY92" s="133"/>
      <c r="DWZ92" s="133"/>
      <c r="DXA92" s="133"/>
      <c r="DXB92" s="133"/>
      <c r="DXC92" s="133"/>
      <c r="DXD92" s="133"/>
      <c r="DXE92" s="133"/>
      <c r="DXF92" s="133"/>
      <c r="DXG92" s="133"/>
      <c r="DXH92" s="133"/>
      <c r="DXI92" s="133"/>
      <c r="DXJ92" s="133"/>
      <c r="DXK92" s="133"/>
      <c r="DXL92" s="133"/>
      <c r="DXM92" s="133"/>
      <c r="DXN92" s="133"/>
      <c r="DXO92" s="133"/>
      <c r="DXP92" s="133"/>
      <c r="DXQ92" s="133"/>
      <c r="DXR92" s="133"/>
      <c r="DXS92" s="133"/>
      <c r="DXT92" s="133"/>
      <c r="DXU92" s="133"/>
      <c r="DXV92" s="133"/>
      <c r="DXW92" s="133"/>
      <c r="DXX92" s="133"/>
      <c r="DXY92" s="133"/>
      <c r="DXZ92" s="133"/>
      <c r="DYA92" s="133"/>
      <c r="DYB92" s="133"/>
      <c r="DYC92" s="133"/>
      <c r="DYD92" s="133"/>
      <c r="DYE92" s="133"/>
      <c r="DYF92" s="133"/>
      <c r="DYG92" s="133"/>
      <c r="DYH92" s="133"/>
      <c r="DYI92" s="133"/>
      <c r="DYJ92" s="133"/>
      <c r="DYK92" s="133"/>
      <c r="DYL92" s="133"/>
      <c r="DYM92" s="133"/>
      <c r="DYN92" s="133"/>
      <c r="DYO92" s="133"/>
      <c r="DYP92" s="133"/>
      <c r="DYQ92" s="133"/>
      <c r="DYR92" s="133"/>
      <c r="DYS92" s="133"/>
      <c r="DYT92" s="133"/>
      <c r="DYU92" s="133"/>
      <c r="DYV92" s="133"/>
      <c r="DYW92" s="133"/>
      <c r="DYX92" s="133"/>
      <c r="DYY92" s="133"/>
      <c r="DYZ92" s="133"/>
      <c r="DZA92" s="133"/>
      <c r="DZB92" s="133"/>
      <c r="DZC92" s="133"/>
      <c r="DZD92" s="133"/>
      <c r="DZE92" s="133"/>
      <c r="DZF92" s="133"/>
      <c r="DZG92" s="133"/>
      <c r="DZH92" s="133"/>
      <c r="DZI92" s="133"/>
      <c r="DZJ92" s="133"/>
      <c r="DZK92" s="133"/>
      <c r="DZL92" s="133"/>
      <c r="DZM92" s="133"/>
      <c r="DZN92" s="133"/>
      <c r="DZO92" s="133"/>
      <c r="DZP92" s="133"/>
      <c r="DZQ92" s="133"/>
      <c r="DZR92" s="133"/>
      <c r="DZS92" s="133"/>
      <c r="DZT92" s="133"/>
      <c r="DZU92" s="133"/>
      <c r="DZV92" s="133"/>
      <c r="DZW92" s="133"/>
      <c r="DZX92" s="133"/>
      <c r="DZY92" s="133"/>
      <c r="DZZ92" s="133"/>
      <c r="EAA92" s="133"/>
      <c r="EAB92" s="133"/>
      <c r="EAC92" s="133"/>
      <c r="EAD92" s="133"/>
      <c r="EAE92" s="133"/>
      <c r="EAF92" s="133"/>
      <c r="EAG92" s="133"/>
      <c r="EAH92" s="133"/>
      <c r="EAI92" s="133"/>
      <c r="EAJ92" s="133"/>
      <c r="EAK92" s="133"/>
      <c r="EAL92" s="133"/>
      <c r="EAM92" s="133"/>
      <c r="EAN92" s="133"/>
      <c r="EAO92" s="133"/>
      <c r="EAP92" s="133"/>
      <c r="EAQ92" s="133"/>
      <c r="EAR92" s="133"/>
      <c r="EAS92" s="133"/>
      <c r="EAT92" s="133"/>
      <c r="EAU92" s="133"/>
      <c r="EAV92" s="133"/>
      <c r="EAW92" s="133"/>
      <c r="EAX92" s="133"/>
      <c r="EAY92" s="133"/>
      <c r="EAZ92" s="133"/>
      <c r="EBA92" s="133"/>
      <c r="EBB92" s="133"/>
      <c r="EBC92" s="133"/>
      <c r="EBD92" s="133"/>
      <c r="EBE92" s="133"/>
      <c r="EBF92" s="133"/>
      <c r="EBG92" s="133"/>
      <c r="EBH92" s="133"/>
      <c r="EBI92" s="133"/>
      <c r="EBJ92" s="133"/>
      <c r="EBK92" s="133"/>
      <c r="EBL92" s="133"/>
      <c r="EBM92" s="133"/>
      <c r="EBN92" s="133"/>
      <c r="EBO92" s="133"/>
      <c r="EBP92" s="133"/>
      <c r="EBQ92" s="133"/>
      <c r="EBR92" s="133"/>
      <c r="EBS92" s="133"/>
      <c r="EBT92" s="133"/>
      <c r="EBU92" s="133"/>
      <c r="EBV92" s="133"/>
      <c r="EBW92" s="133"/>
      <c r="EBX92" s="133"/>
      <c r="EBY92" s="133"/>
      <c r="EBZ92" s="133"/>
      <c r="ECA92" s="133"/>
      <c r="ECB92" s="133"/>
      <c r="ECC92" s="133"/>
      <c r="ECD92" s="133"/>
      <c r="ECE92" s="133"/>
      <c r="ECF92" s="133"/>
      <c r="ECG92" s="133"/>
      <c r="ECH92" s="133"/>
      <c r="ECI92" s="133"/>
      <c r="ECJ92" s="133"/>
      <c r="ECK92" s="133"/>
      <c r="ECL92" s="133"/>
      <c r="ECM92" s="133"/>
      <c r="ECN92" s="133"/>
      <c r="ECO92" s="133"/>
      <c r="ECP92" s="133"/>
      <c r="ECQ92" s="133"/>
      <c r="ECR92" s="133"/>
      <c r="ECS92" s="133"/>
      <c r="ECT92" s="133"/>
      <c r="ECU92" s="133"/>
      <c r="ECV92" s="133"/>
      <c r="ECW92" s="133"/>
      <c r="ECX92" s="133"/>
      <c r="ECY92" s="133"/>
      <c r="ECZ92" s="133"/>
      <c r="EDA92" s="133"/>
      <c r="EDB92" s="133"/>
      <c r="EDC92" s="133"/>
      <c r="EDD92" s="133"/>
      <c r="EDE92" s="133"/>
      <c r="EDF92" s="133"/>
      <c r="EDG92" s="133"/>
      <c r="EDH92" s="133"/>
      <c r="EDI92" s="133"/>
      <c r="EDJ92" s="133"/>
      <c r="EDK92" s="133"/>
      <c r="EDL92" s="133"/>
      <c r="EDM92" s="133"/>
      <c r="EDN92" s="133"/>
      <c r="EDO92" s="133"/>
      <c r="EDP92" s="133"/>
      <c r="EDQ92" s="133"/>
      <c r="EDR92" s="133"/>
      <c r="EDS92" s="133"/>
      <c r="EDT92" s="133"/>
      <c r="EDU92" s="133"/>
      <c r="EDV92" s="133"/>
      <c r="EDW92" s="133"/>
      <c r="EDX92" s="133"/>
      <c r="EDY92" s="133"/>
      <c r="EDZ92" s="133"/>
      <c r="EEA92" s="133"/>
      <c r="EEB92" s="133"/>
      <c r="EEC92" s="133"/>
      <c r="EED92" s="133"/>
      <c r="EEE92" s="133"/>
      <c r="EEF92" s="133"/>
      <c r="EEG92" s="133"/>
      <c r="EEH92" s="133"/>
      <c r="EEI92" s="133"/>
      <c r="EEJ92" s="133"/>
      <c r="EEK92" s="133"/>
      <c r="EEL92" s="133"/>
      <c r="EEM92" s="133"/>
      <c r="EEN92" s="133"/>
      <c r="EEO92" s="133"/>
      <c r="EEP92" s="133"/>
      <c r="EEQ92" s="133"/>
      <c r="EER92" s="133"/>
      <c r="EES92" s="133"/>
      <c r="EET92" s="133"/>
      <c r="EEU92" s="133"/>
      <c r="EEV92" s="133"/>
      <c r="EEW92" s="133"/>
      <c r="EEX92" s="133"/>
      <c r="EEY92" s="133"/>
      <c r="EEZ92" s="133"/>
      <c r="EFA92" s="133"/>
      <c r="EFB92" s="133"/>
      <c r="EFC92" s="133"/>
      <c r="EFD92" s="133"/>
      <c r="EFE92" s="133"/>
      <c r="EFF92" s="133"/>
      <c r="EFG92" s="133"/>
      <c r="EFH92" s="133"/>
      <c r="EFI92" s="133"/>
      <c r="EFJ92" s="133"/>
      <c r="EFK92" s="133"/>
      <c r="EFL92" s="133"/>
      <c r="EFM92" s="133"/>
      <c r="EFN92" s="133"/>
      <c r="EFO92" s="133"/>
      <c r="EFP92" s="133"/>
      <c r="EFQ92" s="133"/>
      <c r="EFR92" s="133"/>
      <c r="EFS92" s="133"/>
      <c r="EFT92" s="133"/>
      <c r="EFU92" s="133"/>
      <c r="EFV92" s="133"/>
      <c r="EFW92" s="133"/>
      <c r="EFX92" s="133"/>
      <c r="EFY92" s="133"/>
      <c r="EFZ92" s="133"/>
      <c r="EGA92" s="133"/>
      <c r="EGB92" s="133"/>
      <c r="EGC92" s="133"/>
      <c r="EGD92" s="133"/>
      <c r="EGE92" s="133"/>
      <c r="EGF92" s="133"/>
      <c r="EGG92" s="133"/>
      <c r="EGH92" s="133"/>
      <c r="EGI92" s="133"/>
      <c r="EGJ92" s="133"/>
      <c r="EGK92" s="133"/>
      <c r="EGL92" s="133"/>
      <c r="EGM92" s="133"/>
      <c r="EGN92" s="133"/>
      <c r="EGO92" s="133"/>
      <c r="EGP92" s="133"/>
      <c r="EGQ92" s="133"/>
      <c r="EGR92" s="133"/>
      <c r="EGS92" s="133"/>
      <c r="EGT92" s="133"/>
      <c r="EGU92" s="133"/>
      <c r="EGV92" s="133"/>
      <c r="EGW92" s="133"/>
      <c r="EGX92" s="133"/>
      <c r="EGY92" s="133"/>
      <c r="EGZ92" s="133"/>
      <c r="EHA92" s="133"/>
      <c r="EHB92" s="133"/>
      <c r="EHC92" s="133"/>
      <c r="EHD92" s="133"/>
      <c r="EHE92" s="133"/>
      <c r="EHF92" s="133"/>
      <c r="EHG92" s="133"/>
      <c r="EHH92" s="133"/>
      <c r="EHI92" s="133"/>
      <c r="EHJ92" s="133"/>
      <c r="EHK92" s="133"/>
      <c r="EHL92" s="133"/>
      <c r="EHM92" s="133"/>
      <c r="EHN92" s="133"/>
      <c r="EHO92" s="133"/>
      <c r="EHP92" s="133"/>
      <c r="EHQ92" s="133"/>
      <c r="EHR92" s="133"/>
      <c r="EHS92" s="133"/>
      <c r="EHT92" s="133"/>
      <c r="EHU92" s="133"/>
      <c r="EHV92" s="133"/>
      <c r="EHW92" s="133"/>
      <c r="EHX92" s="133"/>
      <c r="EHY92" s="133"/>
      <c r="EHZ92" s="133"/>
      <c r="EIA92" s="133"/>
      <c r="EIB92" s="133"/>
      <c r="EIC92" s="133"/>
      <c r="EID92" s="133"/>
      <c r="EIE92" s="133"/>
      <c r="EIF92" s="133"/>
      <c r="EIG92" s="133"/>
      <c r="EIH92" s="133"/>
      <c r="EII92" s="133"/>
      <c r="EIJ92" s="133"/>
      <c r="EIK92" s="133"/>
      <c r="EIL92" s="133"/>
      <c r="EIM92" s="133"/>
      <c r="EIN92" s="133"/>
      <c r="EIO92" s="133"/>
      <c r="EIP92" s="133"/>
      <c r="EIQ92" s="133"/>
      <c r="EIR92" s="133"/>
      <c r="EIS92" s="133"/>
      <c r="EIT92" s="133"/>
      <c r="EIU92" s="133"/>
      <c r="EIV92" s="133"/>
      <c r="EIW92" s="133"/>
      <c r="EIX92" s="133"/>
      <c r="EIY92" s="133"/>
      <c r="EIZ92" s="133"/>
      <c r="EJA92" s="133"/>
      <c r="EJB92" s="133"/>
      <c r="EJC92" s="133"/>
      <c r="EJD92" s="133"/>
      <c r="EJE92" s="133"/>
      <c r="EJF92" s="133"/>
      <c r="EJG92" s="133"/>
      <c r="EJH92" s="133"/>
      <c r="EJI92" s="133"/>
      <c r="EJJ92" s="133"/>
      <c r="EJK92" s="133"/>
      <c r="EJL92" s="133"/>
      <c r="EJM92" s="133"/>
      <c r="EJN92" s="133"/>
      <c r="EJO92" s="133"/>
      <c r="EJP92" s="133"/>
      <c r="EJQ92" s="133"/>
      <c r="EJR92" s="133"/>
      <c r="EJS92" s="133"/>
      <c r="EJT92" s="133"/>
      <c r="EJU92" s="133"/>
      <c r="EJV92" s="133"/>
      <c r="EJW92" s="133"/>
      <c r="EJX92" s="133"/>
      <c r="EJY92" s="133"/>
      <c r="EJZ92" s="133"/>
      <c r="EKA92" s="133"/>
      <c r="EKB92" s="133"/>
      <c r="EKC92" s="133"/>
      <c r="EKD92" s="133"/>
      <c r="EKE92" s="133"/>
      <c r="EKF92" s="133"/>
      <c r="EKG92" s="133"/>
      <c r="EKH92" s="133"/>
      <c r="EKI92" s="133"/>
      <c r="EKJ92" s="133"/>
      <c r="EKK92" s="133"/>
      <c r="EKL92" s="133"/>
      <c r="EKM92" s="133"/>
      <c r="EKN92" s="133"/>
      <c r="EKO92" s="133"/>
      <c r="EKP92" s="133"/>
      <c r="EKQ92" s="133"/>
      <c r="EKR92" s="133"/>
      <c r="EKS92" s="133"/>
      <c r="EKT92" s="133"/>
      <c r="EKU92" s="133"/>
      <c r="EKV92" s="133"/>
      <c r="EKW92" s="133"/>
      <c r="EKX92" s="133"/>
      <c r="EKY92" s="133"/>
      <c r="EKZ92" s="133"/>
      <c r="ELA92" s="133"/>
      <c r="ELB92" s="133"/>
      <c r="ELC92" s="133"/>
      <c r="ELD92" s="133"/>
      <c r="ELE92" s="133"/>
      <c r="ELF92" s="133"/>
      <c r="ELG92" s="133"/>
      <c r="ELH92" s="133"/>
      <c r="ELI92" s="133"/>
      <c r="ELJ92" s="133"/>
      <c r="ELK92" s="133"/>
      <c r="ELL92" s="133"/>
      <c r="ELM92" s="133"/>
      <c r="ELN92" s="133"/>
      <c r="ELO92" s="133"/>
      <c r="ELP92" s="133"/>
      <c r="ELQ92" s="133"/>
      <c r="ELR92" s="133"/>
      <c r="ELS92" s="133"/>
      <c r="ELT92" s="133"/>
      <c r="ELU92" s="133"/>
      <c r="ELV92" s="133"/>
      <c r="ELW92" s="133"/>
      <c r="ELX92" s="133"/>
      <c r="ELY92" s="133"/>
      <c r="ELZ92" s="133"/>
      <c r="EMA92" s="133"/>
      <c r="EMB92" s="133"/>
      <c r="EMC92" s="133"/>
      <c r="EMD92" s="133"/>
      <c r="EME92" s="133"/>
      <c r="EMF92" s="133"/>
      <c r="EMG92" s="133"/>
      <c r="EMH92" s="133"/>
      <c r="EMI92" s="133"/>
      <c r="EMJ92" s="133"/>
      <c r="EMK92" s="133"/>
      <c r="EML92" s="133"/>
      <c r="EMM92" s="133"/>
      <c r="EMN92" s="133"/>
      <c r="EMO92" s="133"/>
      <c r="EMP92" s="133"/>
      <c r="EMQ92" s="133"/>
      <c r="EMR92" s="133"/>
      <c r="EMS92" s="133"/>
      <c r="EMT92" s="133"/>
      <c r="EMU92" s="133"/>
      <c r="EMV92" s="133"/>
      <c r="EMW92" s="133"/>
      <c r="EMX92" s="133"/>
      <c r="EMY92" s="133"/>
      <c r="EMZ92" s="133"/>
      <c r="ENA92" s="133"/>
      <c r="ENB92" s="133"/>
      <c r="ENC92" s="133"/>
      <c r="END92" s="133"/>
      <c r="ENE92" s="133"/>
      <c r="ENF92" s="133"/>
      <c r="ENG92" s="133"/>
      <c r="ENH92" s="133"/>
      <c r="ENI92" s="133"/>
      <c r="ENJ92" s="133"/>
      <c r="ENK92" s="133"/>
      <c r="ENL92" s="133"/>
      <c r="ENM92" s="133"/>
      <c r="ENN92" s="133"/>
      <c r="ENO92" s="133"/>
      <c r="ENP92" s="133"/>
      <c r="ENQ92" s="133"/>
      <c r="ENR92" s="133"/>
      <c r="ENS92" s="133"/>
      <c r="ENT92" s="133"/>
      <c r="ENU92" s="133"/>
      <c r="ENV92" s="133"/>
      <c r="ENW92" s="133"/>
      <c r="ENX92" s="133"/>
      <c r="ENY92" s="133"/>
      <c r="ENZ92" s="133"/>
      <c r="EOA92" s="133"/>
      <c r="EOB92" s="133"/>
      <c r="EOC92" s="133"/>
      <c r="EOD92" s="133"/>
      <c r="EOE92" s="133"/>
      <c r="EOF92" s="133"/>
      <c r="EOG92" s="133"/>
      <c r="EOH92" s="133"/>
      <c r="EOI92" s="133"/>
      <c r="EOJ92" s="133"/>
      <c r="EOK92" s="133"/>
      <c r="EOL92" s="133"/>
      <c r="EOM92" s="133"/>
      <c r="EON92" s="133"/>
      <c r="EOO92" s="133"/>
      <c r="EOP92" s="133"/>
      <c r="EOQ92" s="133"/>
      <c r="EOR92" s="133"/>
      <c r="EOS92" s="133"/>
      <c r="EOT92" s="133"/>
      <c r="EOU92" s="133"/>
      <c r="EOV92" s="133"/>
      <c r="EOW92" s="133"/>
      <c r="EOX92" s="133"/>
      <c r="EOY92" s="133"/>
      <c r="EOZ92" s="133"/>
      <c r="EPA92" s="133"/>
      <c r="EPB92" s="133"/>
      <c r="EPC92" s="133"/>
      <c r="EPD92" s="133"/>
      <c r="EPE92" s="133"/>
      <c r="EPF92" s="133"/>
      <c r="EPG92" s="133"/>
      <c r="EPH92" s="133"/>
      <c r="EPI92" s="133"/>
      <c r="EPJ92" s="133"/>
      <c r="EPK92" s="133"/>
      <c r="EPL92" s="133"/>
      <c r="EPM92" s="133"/>
      <c r="EPN92" s="133"/>
      <c r="EPO92" s="133"/>
      <c r="EPP92" s="133"/>
      <c r="EPQ92" s="133"/>
      <c r="EPR92" s="133"/>
      <c r="EPS92" s="133"/>
      <c r="EPT92" s="133"/>
      <c r="EPU92" s="133"/>
      <c r="EPV92" s="133"/>
      <c r="EPW92" s="133"/>
      <c r="EPX92" s="133"/>
      <c r="EPY92" s="133"/>
      <c r="EPZ92" s="133"/>
      <c r="EQA92" s="133"/>
      <c r="EQB92" s="133"/>
      <c r="EQC92" s="133"/>
      <c r="EQD92" s="133"/>
      <c r="EQE92" s="133"/>
      <c r="EQF92" s="133"/>
      <c r="EQG92" s="133"/>
      <c r="EQH92" s="133"/>
      <c r="EQI92" s="133"/>
      <c r="EQJ92" s="133"/>
      <c r="EQK92" s="133"/>
      <c r="EQL92" s="133"/>
      <c r="EQM92" s="133"/>
      <c r="EQN92" s="133"/>
      <c r="EQO92" s="133"/>
      <c r="EQP92" s="133"/>
      <c r="EQQ92" s="133"/>
      <c r="EQR92" s="133"/>
      <c r="EQS92" s="133"/>
      <c r="EQT92" s="133"/>
      <c r="EQU92" s="133"/>
      <c r="EQV92" s="133"/>
      <c r="EQW92" s="133"/>
      <c r="EQX92" s="133"/>
      <c r="EQY92" s="133"/>
      <c r="EQZ92" s="133"/>
      <c r="ERA92" s="133"/>
      <c r="ERB92" s="133"/>
      <c r="ERC92" s="133"/>
      <c r="ERD92" s="133"/>
      <c r="ERE92" s="133"/>
      <c r="ERF92" s="133"/>
      <c r="ERG92" s="133"/>
      <c r="ERH92" s="133"/>
      <c r="ERI92" s="133"/>
      <c r="ERJ92" s="133"/>
      <c r="ERK92" s="133"/>
      <c r="ERL92" s="133"/>
      <c r="ERM92" s="133"/>
      <c r="ERN92" s="133"/>
      <c r="ERO92" s="133"/>
      <c r="ERP92" s="133"/>
      <c r="ERQ92" s="133"/>
      <c r="ERR92" s="133"/>
      <c r="ERS92" s="133"/>
      <c r="ERT92" s="133"/>
      <c r="ERU92" s="133"/>
      <c r="ERV92" s="133"/>
      <c r="ERW92" s="133"/>
      <c r="ERX92" s="133"/>
      <c r="ERY92" s="133"/>
      <c r="ERZ92" s="133"/>
      <c r="ESA92" s="133"/>
      <c r="ESB92" s="133"/>
      <c r="ESC92" s="133"/>
      <c r="ESD92" s="133"/>
      <c r="ESE92" s="133"/>
      <c r="ESF92" s="133"/>
      <c r="ESG92" s="133"/>
      <c r="ESH92" s="133"/>
      <c r="ESI92" s="133"/>
      <c r="ESJ92" s="133"/>
      <c r="ESK92" s="133"/>
      <c r="ESL92" s="133"/>
      <c r="ESM92" s="133"/>
      <c r="ESN92" s="133"/>
      <c r="ESO92" s="133"/>
      <c r="ESP92" s="133"/>
      <c r="ESQ92" s="133"/>
      <c r="ESR92" s="133"/>
      <c r="ESS92" s="133"/>
      <c r="EST92" s="133"/>
      <c r="ESU92" s="133"/>
      <c r="ESV92" s="133"/>
      <c r="ESW92" s="133"/>
      <c r="ESX92" s="133"/>
      <c r="ESY92" s="133"/>
      <c r="ESZ92" s="133"/>
      <c r="ETA92" s="133"/>
      <c r="ETB92" s="133"/>
      <c r="ETC92" s="133"/>
      <c r="ETD92" s="133"/>
      <c r="ETE92" s="133"/>
      <c r="ETF92" s="133"/>
      <c r="ETG92" s="133"/>
      <c r="ETH92" s="133"/>
      <c r="ETI92" s="133"/>
      <c r="ETJ92" s="133"/>
      <c r="ETK92" s="133"/>
      <c r="ETL92" s="133"/>
      <c r="ETM92" s="133"/>
      <c r="ETN92" s="133"/>
      <c r="ETO92" s="133"/>
      <c r="ETP92" s="133"/>
      <c r="ETQ92" s="133"/>
      <c r="ETR92" s="133"/>
      <c r="ETS92" s="133"/>
      <c r="ETT92" s="133"/>
      <c r="ETU92" s="133"/>
      <c r="ETV92" s="133"/>
      <c r="ETW92" s="133"/>
      <c r="ETX92" s="133"/>
      <c r="ETY92" s="133"/>
      <c r="ETZ92" s="133"/>
      <c r="EUA92" s="133"/>
      <c r="EUB92" s="133"/>
      <c r="EUC92" s="133"/>
      <c r="EUD92" s="133"/>
      <c r="EUE92" s="133"/>
      <c r="EUF92" s="133"/>
      <c r="EUG92" s="133"/>
      <c r="EUH92" s="133"/>
      <c r="EUI92" s="133"/>
      <c r="EUJ92" s="133"/>
      <c r="EUK92" s="133"/>
      <c r="EUL92" s="133"/>
      <c r="EUM92" s="133"/>
      <c r="EUN92" s="133"/>
      <c r="EUO92" s="133"/>
      <c r="EUP92" s="133"/>
      <c r="EUQ92" s="133"/>
      <c r="EUR92" s="133"/>
      <c r="EUS92" s="133"/>
      <c r="EUT92" s="133"/>
      <c r="EUU92" s="133"/>
      <c r="EUV92" s="133"/>
      <c r="EUW92" s="133"/>
      <c r="EUX92" s="133"/>
      <c r="EUY92" s="133"/>
      <c r="EUZ92" s="133"/>
      <c r="EVA92" s="133"/>
      <c r="EVB92" s="133"/>
      <c r="EVC92" s="133"/>
      <c r="EVD92" s="133"/>
      <c r="EVE92" s="133"/>
      <c r="EVF92" s="133"/>
      <c r="EVG92" s="133"/>
      <c r="EVH92" s="133"/>
      <c r="EVI92" s="133"/>
      <c r="EVJ92" s="133"/>
      <c r="EVK92" s="133"/>
      <c r="EVL92" s="133"/>
      <c r="EVM92" s="133"/>
      <c r="EVN92" s="133"/>
      <c r="EVO92" s="133"/>
      <c r="EVP92" s="133"/>
      <c r="EVQ92" s="133"/>
      <c r="EVR92" s="133"/>
      <c r="EVS92" s="133"/>
      <c r="EVT92" s="133"/>
      <c r="EVU92" s="133"/>
      <c r="EVV92" s="133"/>
      <c r="EVW92" s="133"/>
      <c r="EVX92" s="133"/>
      <c r="EVY92" s="133"/>
      <c r="EVZ92" s="133"/>
      <c r="EWA92" s="133"/>
      <c r="EWB92" s="133"/>
      <c r="EWC92" s="133"/>
      <c r="EWD92" s="133"/>
      <c r="EWE92" s="133"/>
      <c r="EWF92" s="133"/>
      <c r="EWG92" s="133"/>
      <c r="EWH92" s="133"/>
      <c r="EWI92" s="133"/>
      <c r="EWJ92" s="133"/>
      <c r="EWK92" s="133"/>
      <c r="EWL92" s="133"/>
      <c r="EWM92" s="133"/>
      <c r="EWN92" s="133"/>
      <c r="EWO92" s="133"/>
      <c r="EWP92" s="133"/>
      <c r="EWQ92" s="133"/>
      <c r="EWR92" s="133"/>
      <c r="EWS92" s="133"/>
      <c r="EWT92" s="133"/>
      <c r="EWU92" s="133"/>
      <c r="EWV92" s="133"/>
      <c r="EWW92" s="133"/>
      <c r="EWX92" s="133"/>
      <c r="EWY92" s="133"/>
      <c r="EWZ92" s="133"/>
      <c r="EXA92" s="133"/>
      <c r="EXB92" s="133"/>
      <c r="EXC92" s="133"/>
      <c r="EXD92" s="133"/>
      <c r="EXE92" s="133"/>
      <c r="EXF92" s="133"/>
      <c r="EXG92" s="133"/>
      <c r="EXH92" s="133"/>
      <c r="EXI92" s="133"/>
      <c r="EXJ92" s="133"/>
      <c r="EXK92" s="133"/>
      <c r="EXL92" s="133"/>
      <c r="EXM92" s="133"/>
      <c r="EXN92" s="133"/>
      <c r="EXO92" s="133"/>
      <c r="EXP92" s="133"/>
      <c r="EXQ92" s="133"/>
      <c r="EXR92" s="133"/>
      <c r="EXS92" s="133"/>
      <c r="EXT92" s="133"/>
      <c r="EXU92" s="133"/>
      <c r="EXV92" s="133"/>
      <c r="EXW92" s="133"/>
      <c r="EXX92" s="133"/>
      <c r="EXY92" s="133"/>
      <c r="EXZ92" s="133"/>
      <c r="EYA92" s="133"/>
      <c r="EYB92" s="133"/>
      <c r="EYC92" s="133"/>
      <c r="EYD92" s="133"/>
      <c r="EYE92" s="133"/>
      <c r="EYF92" s="133"/>
      <c r="EYG92" s="133"/>
      <c r="EYH92" s="133"/>
      <c r="EYI92" s="133"/>
      <c r="EYJ92" s="133"/>
      <c r="EYK92" s="133"/>
      <c r="EYL92" s="133"/>
      <c r="EYM92" s="133"/>
      <c r="EYN92" s="133"/>
      <c r="EYO92" s="133"/>
      <c r="EYP92" s="133"/>
      <c r="EYQ92" s="133"/>
      <c r="EYR92" s="133"/>
      <c r="EYS92" s="133"/>
      <c r="EYT92" s="133"/>
      <c r="EYU92" s="133"/>
      <c r="EYV92" s="133"/>
      <c r="EYW92" s="133"/>
      <c r="EYX92" s="133"/>
      <c r="EYY92" s="133"/>
      <c r="EYZ92" s="133"/>
      <c r="EZA92" s="133"/>
      <c r="EZB92" s="133"/>
      <c r="EZC92" s="133"/>
      <c r="EZD92" s="133"/>
      <c r="EZE92" s="133"/>
      <c r="EZF92" s="133"/>
      <c r="EZG92" s="133"/>
      <c r="EZH92" s="133"/>
      <c r="EZI92" s="133"/>
      <c r="EZJ92" s="133"/>
      <c r="EZK92" s="133"/>
      <c r="EZL92" s="133"/>
      <c r="EZM92" s="133"/>
      <c r="EZN92" s="133"/>
      <c r="EZO92" s="133"/>
      <c r="EZP92" s="133"/>
      <c r="EZQ92" s="133"/>
      <c r="EZR92" s="133"/>
      <c r="EZS92" s="133"/>
      <c r="EZT92" s="133"/>
      <c r="EZU92" s="133"/>
      <c r="EZV92" s="133"/>
      <c r="EZW92" s="133"/>
      <c r="EZX92" s="133"/>
      <c r="EZY92" s="133"/>
      <c r="EZZ92" s="133"/>
      <c r="FAA92" s="133"/>
      <c r="FAB92" s="133"/>
      <c r="FAC92" s="133"/>
      <c r="FAD92" s="133"/>
      <c r="FAE92" s="133"/>
      <c r="FAF92" s="133"/>
      <c r="FAG92" s="133"/>
      <c r="FAH92" s="133"/>
      <c r="FAI92" s="133"/>
      <c r="FAJ92" s="133"/>
      <c r="FAK92" s="133"/>
      <c r="FAL92" s="133"/>
      <c r="FAM92" s="133"/>
      <c r="FAN92" s="133"/>
      <c r="FAO92" s="133"/>
      <c r="FAP92" s="133"/>
      <c r="FAQ92" s="133"/>
      <c r="FAR92" s="133"/>
      <c r="FAS92" s="133"/>
      <c r="FAT92" s="133"/>
      <c r="FAU92" s="133"/>
      <c r="FAV92" s="133"/>
      <c r="FAW92" s="133"/>
      <c r="FAX92" s="133"/>
      <c r="FAY92" s="133"/>
      <c r="FAZ92" s="133"/>
      <c r="FBA92" s="133"/>
      <c r="FBB92" s="133"/>
      <c r="FBC92" s="133"/>
      <c r="FBD92" s="133"/>
      <c r="FBE92" s="133"/>
      <c r="FBF92" s="133"/>
      <c r="FBG92" s="133"/>
      <c r="FBH92" s="133"/>
      <c r="FBI92" s="133"/>
      <c r="FBJ92" s="133"/>
      <c r="FBK92" s="133"/>
      <c r="FBL92" s="133"/>
      <c r="FBM92" s="133"/>
      <c r="FBN92" s="133"/>
      <c r="FBO92" s="133"/>
      <c r="FBP92" s="133"/>
      <c r="FBQ92" s="133"/>
      <c r="FBR92" s="133"/>
      <c r="FBS92" s="133"/>
      <c r="FBT92" s="133"/>
      <c r="FBU92" s="133"/>
      <c r="FBV92" s="133"/>
      <c r="FBW92" s="133"/>
      <c r="FBX92" s="133"/>
      <c r="FBY92" s="133"/>
      <c r="FBZ92" s="133"/>
      <c r="FCA92" s="133"/>
      <c r="FCB92" s="133"/>
      <c r="FCC92" s="133"/>
      <c r="FCD92" s="133"/>
      <c r="FCE92" s="133"/>
      <c r="FCF92" s="133"/>
      <c r="FCG92" s="133"/>
      <c r="FCH92" s="133"/>
      <c r="FCI92" s="133"/>
      <c r="FCJ92" s="133"/>
      <c r="FCK92" s="133"/>
      <c r="FCL92" s="133"/>
      <c r="FCM92" s="133"/>
      <c r="FCN92" s="133"/>
      <c r="FCO92" s="133"/>
      <c r="FCP92" s="133"/>
      <c r="FCQ92" s="133"/>
      <c r="FCR92" s="133"/>
      <c r="FCS92" s="133"/>
      <c r="FCT92" s="133"/>
      <c r="FCU92" s="133"/>
      <c r="FCV92" s="133"/>
      <c r="FCW92" s="133"/>
      <c r="FCX92" s="133"/>
      <c r="FCY92" s="133"/>
      <c r="FCZ92" s="133"/>
      <c r="FDA92" s="133"/>
      <c r="FDB92" s="133"/>
      <c r="FDC92" s="133"/>
      <c r="FDD92" s="133"/>
      <c r="FDE92" s="133"/>
      <c r="FDF92" s="133"/>
      <c r="FDG92" s="133"/>
      <c r="FDH92" s="133"/>
      <c r="FDI92" s="133"/>
      <c r="FDJ92" s="133"/>
      <c r="FDK92" s="133"/>
      <c r="FDL92" s="133"/>
      <c r="FDM92" s="133"/>
      <c r="FDN92" s="133"/>
      <c r="FDO92" s="133"/>
      <c r="FDP92" s="133"/>
      <c r="FDQ92" s="133"/>
      <c r="FDR92" s="133"/>
      <c r="FDS92" s="133"/>
      <c r="FDT92" s="133"/>
      <c r="FDU92" s="133"/>
      <c r="FDV92" s="133"/>
      <c r="FDW92" s="133"/>
      <c r="FDX92" s="133"/>
      <c r="FDY92" s="133"/>
      <c r="FDZ92" s="133"/>
      <c r="FEA92" s="133"/>
      <c r="FEB92" s="133"/>
      <c r="FEC92" s="133"/>
      <c r="FED92" s="133"/>
      <c r="FEE92" s="133"/>
      <c r="FEF92" s="133"/>
      <c r="FEG92" s="133"/>
      <c r="FEH92" s="133"/>
      <c r="FEI92" s="133"/>
      <c r="FEJ92" s="133"/>
      <c r="FEK92" s="133"/>
      <c r="FEL92" s="133"/>
      <c r="FEM92" s="133"/>
      <c r="FEN92" s="133"/>
      <c r="FEO92" s="133"/>
      <c r="FEP92" s="133"/>
      <c r="FEQ92" s="133"/>
      <c r="FER92" s="133"/>
      <c r="FES92" s="133"/>
      <c r="FET92" s="133"/>
      <c r="FEU92" s="133"/>
      <c r="FEV92" s="133"/>
      <c r="FEW92" s="133"/>
      <c r="FEX92" s="133"/>
      <c r="FEY92" s="133"/>
      <c r="FEZ92" s="133"/>
      <c r="FFA92" s="133"/>
      <c r="FFB92" s="133"/>
      <c r="FFC92" s="133"/>
      <c r="FFD92" s="133"/>
      <c r="FFE92" s="133"/>
      <c r="FFF92" s="133"/>
      <c r="FFG92" s="133"/>
      <c r="FFH92" s="133"/>
      <c r="FFI92" s="133"/>
      <c r="FFJ92" s="133"/>
      <c r="FFK92" s="133"/>
      <c r="FFL92" s="133"/>
      <c r="FFM92" s="133"/>
      <c r="FFN92" s="133"/>
      <c r="FFO92" s="133"/>
      <c r="FFP92" s="133"/>
      <c r="FFQ92" s="133"/>
      <c r="FFR92" s="133"/>
      <c r="FFS92" s="133"/>
      <c r="FFT92" s="133"/>
      <c r="FFU92" s="133"/>
      <c r="FFV92" s="133"/>
      <c r="FFW92" s="133"/>
      <c r="FFX92" s="133"/>
      <c r="FFY92" s="133"/>
      <c r="FFZ92" s="133"/>
      <c r="FGA92" s="133"/>
      <c r="FGB92" s="133"/>
      <c r="FGC92" s="133"/>
      <c r="FGD92" s="133"/>
      <c r="FGE92" s="133"/>
      <c r="FGF92" s="133"/>
      <c r="FGG92" s="133"/>
      <c r="FGH92" s="133"/>
      <c r="FGI92" s="133"/>
      <c r="FGJ92" s="133"/>
      <c r="FGK92" s="133"/>
      <c r="FGL92" s="133"/>
      <c r="FGM92" s="133"/>
      <c r="FGN92" s="133"/>
      <c r="FGO92" s="133"/>
      <c r="FGP92" s="133"/>
      <c r="FGQ92" s="133"/>
      <c r="FGR92" s="133"/>
      <c r="FGS92" s="133"/>
      <c r="FGT92" s="133"/>
      <c r="FGU92" s="133"/>
      <c r="FGV92" s="133"/>
      <c r="FGW92" s="133"/>
      <c r="FGX92" s="133"/>
      <c r="FGY92" s="133"/>
      <c r="FGZ92" s="133"/>
      <c r="FHA92" s="133"/>
      <c r="FHB92" s="133"/>
      <c r="FHC92" s="133"/>
      <c r="FHD92" s="133"/>
      <c r="FHE92" s="133"/>
      <c r="FHF92" s="133"/>
      <c r="FHG92" s="133"/>
      <c r="FHH92" s="133"/>
      <c r="FHI92" s="133"/>
      <c r="FHJ92" s="133"/>
      <c r="FHK92" s="133"/>
      <c r="FHL92" s="133"/>
      <c r="FHM92" s="133"/>
      <c r="FHN92" s="133"/>
      <c r="FHO92" s="133"/>
      <c r="FHP92" s="133"/>
      <c r="FHQ92" s="133"/>
      <c r="FHR92" s="133"/>
      <c r="FHS92" s="133"/>
      <c r="FHT92" s="133"/>
      <c r="FHU92" s="133"/>
      <c r="FHV92" s="133"/>
      <c r="FHW92" s="133"/>
      <c r="FHX92" s="133"/>
      <c r="FHY92" s="133"/>
      <c r="FHZ92" s="133"/>
      <c r="FIA92" s="133"/>
      <c r="FIB92" s="133"/>
      <c r="FIC92" s="133"/>
      <c r="FID92" s="133"/>
      <c r="FIE92" s="133"/>
      <c r="FIF92" s="133"/>
      <c r="FIG92" s="133"/>
      <c r="FIH92" s="133"/>
      <c r="FII92" s="133"/>
      <c r="FIJ92" s="133"/>
      <c r="FIK92" s="133"/>
      <c r="FIL92" s="133"/>
      <c r="FIM92" s="133"/>
      <c r="FIN92" s="133"/>
      <c r="FIO92" s="133"/>
      <c r="FIP92" s="133"/>
      <c r="FIQ92" s="133"/>
      <c r="FIR92" s="133"/>
      <c r="FIS92" s="133"/>
      <c r="FIT92" s="133"/>
      <c r="FIU92" s="133"/>
      <c r="FIV92" s="133"/>
      <c r="FIW92" s="133"/>
      <c r="FIX92" s="133"/>
      <c r="FIY92" s="133"/>
      <c r="FIZ92" s="133"/>
      <c r="FJA92" s="133"/>
      <c r="FJB92" s="133"/>
      <c r="FJC92" s="133"/>
      <c r="FJD92" s="133"/>
      <c r="FJE92" s="133"/>
      <c r="FJF92" s="133"/>
      <c r="FJG92" s="133"/>
      <c r="FJH92" s="133"/>
      <c r="FJI92" s="133"/>
      <c r="FJJ92" s="133"/>
      <c r="FJK92" s="133"/>
      <c r="FJL92" s="133"/>
      <c r="FJM92" s="133"/>
      <c r="FJN92" s="133"/>
      <c r="FJO92" s="133"/>
      <c r="FJP92" s="133"/>
      <c r="FJQ92" s="133"/>
      <c r="FJR92" s="133"/>
      <c r="FJS92" s="133"/>
      <c r="FJT92" s="133"/>
      <c r="FJU92" s="133"/>
      <c r="FJV92" s="133"/>
      <c r="FJW92" s="133"/>
      <c r="FJX92" s="133"/>
      <c r="FJY92" s="133"/>
      <c r="FJZ92" s="133"/>
      <c r="FKA92" s="133"/>
      <c r="FKB92" s="133"/>
      <c r="FKC92" s="133"/>
      <c r="FKD92" s="133"/>
      <c r="FKE92" s="133"/>
      <c r="FKF92" s="133"/>
      <c r="FKG92" s="133"/>
      <c r="FKH92" s="133"/>
      <c r="FKI92" s="133"/>
      <c r="FKJ92" s="133"/>
      <c r="FKK92" s="133"/>
      <c r="FKL92" s="133"/>
      <c r="FKM92" s="133"/>
      <c r="FKN92" s="133"/>
      <c r="FKO92" s="133"/>
      <c r="FKP92" s="133"/>
      <c r="FKQ92" s="133"/>
      <c r="FKR92" s="133"/>
      <c r="FKS92" s="133"/>
      <c r="FKT92" s="133"/>
      <c r="FKU92" s="133"/>
      <c r="FKV92" s="133"/>
      <c r="FKW92" s="133"/>
      <c r="FKX92" s="133"/>
      <c r="FKY92" s="133"/>
      <c r="FKZ92" s="133"/>
      <c r="FLA92" s="133"/>
      <c r="FLB92" s="133"/>
      <c r="FLC92" s="133"/>
      <c r="FLD92" s="133"/>
      <c r="FLE92" s="133"/>
      <c r="FLF92" s="133"/>
      <c r="FLG92" s="133"/>
      <c r="FLH92" s="133"/>
      <c r="FLI92" s="133"/>
      <c r="FLJ92" s="133"/>
      <c r="FLK92" s="133"/>
      <c r="FLL92" s="133"/>
      <c r="FLM92" s="133"/>
      <c r="FLN92" s="133"/>
      <c r="FLO92" s="133"/>
      <c r="FLP92" s="133"/>
      <c r="FLQ92" s="133"/>
      <c r="FLR92" s="133"/>
      <c r="FLS92" s="133"/>
      <c r="FLT92" s="133"/>
      <c r="FLU92" s="133"/>
      <c r="FLV92" s="133"/>
      <c r="FLW92" s="133"/>
      <c r="FLX92" s="133"/>
      <c r="FLY92" s="133"/>
      <c r="FLZ92" s="133"/>
      <c r="FMA92" s="133"/>
      <c r="FMB92" s="133"/>
      <c r="FMC92" s="133"/>
      <c r="FMD92" s="133"/>
      <c r="FME92" s="133"/>
      <c r="FMF92" s="133"/>
      <c r="FMG92" s="133"/>
      <c r="FMH92" s="133"/>
      <c r="FMI92" s="133"/>
      <c r="FMJ92" s="133"/>
      <c r="FMK92" s="133"/>
      <c r="FML92" s="133"/>
      <c r="FMM92" s="133"/>
      <c r="FMN92" s="133"/>
      <c r="FMO92" s="133"/>
      <c r="FMP92" s="133"/>
      <c r="FMQ92" s="133"/>
      <c r="FMR92" s="133"/>
      <c r="FMS92" s="133"/>
      <c r="FMT92" s="133"/>
      <c r="FMU92" s="133"/>
      <c r="FMV92" s="133"/>
      <c r="FMW92" s="133"/>
      <c r="FMX92" s="133"/>
      <c r="FMY92" s="133"/>
      <c r="FMZ92" s="133"/>
      <c r="FNA92" s="133"/>
      <c r="FNB92" s="133"/>
      <c r="FNC92" s="133"/>
      <c r="FND92" s="133"/>
      <c r="FNE92" s="133"/>
      <c r="FNF92" s="133"/>
      <c r="FNG92" s="133"/>
      <c r="FNH92" s="133"/>
      <c r="FNI92" s="133"/>
      <c r="FNJ92" s="133"/>
      <c r="FNK92" s="133"/>
      <c r="FNL92" s="133"/>
      <c r="FNM92" s="133"/>
      <c r="FNN92" s="133"/>
      <c r="FNO92" s="133"/>
      <c r="FNP92" s="133"/>
      <c r="FNQ92" s="133"/>
      <c r="FNR92" s="133"/>
      <c r="FNS92" s="133"/>
      <c r="FNT92" s="133"/>
      <c r="FNU92" s="133"/>
      <c r="FNV92" s="133"/>
      <c r="FNW92" s="133"/>
      <c r="FNX92" s="133"/>
      <c r="FNY92" s="133"/>
      <c r="FNZ92" s="133"/>
      <c r="FOA92" s="133"/>
      <c r="FOB92" s="133"/>
      <c r="FOC92" s="133"/>
      <c r="FOD92" s="133"/>
      <c r="FOE92" s="133"/>
      <c r="FOF92" s="133"/>
      <c r="FOG92" s="133"/>
      <c r="FOH92" s="133"/>
      <c r="FOI92" s="133"/>
      <c r="FOJ92" s="133"/>
      <c r="FOK92" s="133"/>
      <c r="FOL92" s="133"/>
      <c r="FOM92" s="133"/>
      <c r="FON92" s="133"/>
      <c r="FOO92" s="133"/>
      <c r="FOP92" s="133"/>
      <c r="FOQ92" s="133"/>
      <c r="FOR92" s="133"/>
      <c r="FOS92" s="133"/>
      <c r="FOT92" s="133"/>
      <c r="FOU92" s="133"/>
      <c r="FOV92" s="133"/>
      <c r="FOW92" s="133"/>
      <c r="FOX92" s="133"/>
      <c r="FOY92" s="133"/>
      <c r="FOZ92" s="133"/>
      <c r="FPA92" s="133"/>
      <c r="FPB92" s="133"/>
      <c r="FPC92" s="133"/>
      <c r="FPD92" s="133"/>
      <c r="FPE92" s="133"/>
      <c r="FPF92" s="133"/>
      <c r="FPG92" s="133"/>
      <c r="FPH92" s="133"/>
      <c r="FPI92" s="133"/>
      <c r="FPJ92" s="133"/>
      <c r="FPK92" s="133"/>
      <c r="FPL92" s="133"/>
      <c r="FPM92" s="133"/>
      <c r="FPN92" s="133"/>
      <c r="FPO92" s="133"/>
      <c r="FPP92" s="133"/>
      <c r="FPQ92" s="133"/>
      <c r="FPR92" s="133"/>
      <c r="FPS92" s="133"/>
      <c r="FPT92" s="133"/>
      <c r="FPU92" s="133"/>
      <c r="FPV92" s="133"/>
      <c r="FPW92" s="133"/>
      <c r="FPX92" s="133"/>
      <c r="FPY92" s="133"/>
      <c r="FPZ92" s="133"/>
      <c r="FQA92" s="133"/>
      <c r="FQB92" s="133"/>
      <c r="FQC92" s="133"/>
      <c r="FQD92" s="133"/>
      <c r="FQE92" s="133"/>
      <c r="FQF92" s="133"/>
      <c r="FQG92" s="133"/>
      <c r="FQH92" s="133"/>
      <c r="FQI92" s="133"/>
      <c r="FQJ92" s="133"/>
      <c r="FQK92" s="133"/>
      <c r="FQL92" s="133"/>
      <c r="FQM92" s="133"/>
      <c r="FQN92" s="133"/>
      <c r="FQO92" s="133"/>
      <c r="FQP92" s="133"/>
      <c r="FQQ92" s="133"/>
      <c r="FQR92" s="133"/>
      <c r="FQS92" s="133"/>
      <c r="FQT92" s="133"/>
      <c r="FQU92" s="133"/>
      <c r="FQV92" s="133"/>
      <c r="FQW92" s="133"/>
      <c r="FQX92" s="133"/>
      <c r="FQY92" s="133"/>
      <c r="FQZ92" s="133"/>
      <c r="FRA92" s="133"/>
      <c r="FRB92" s="133"/>
      <c r="FRC92" s="133"/>
      <c r="FRD92" s="133"/>
      <c r="FRE92" s="133"/>
      <c r="FRF92" s="133"/>
      <c r="FRG92" s="133"/>
      <c r="FRH92" s="133"/>
      <c r="FRI92" s="133"/>
      <c r="FRJ92" s="133"/>
      <c r="FRK92" s="133"/>
      <c r="FRL92" s="133"/>
      <c r="FRM92" s="133"/>
      <c r="FRN92" s="133"/>
      <c r="FRO92" s="133"/>
      <c r="FRP92" s="133"/>
      <c r="FRQ92" s="133"/>
      <c r="FRR92" s="133"/>
      <c r="FRS92" s="133"/>
      <c r="FRT92" s="133"/>
      <c r="FRU92" s="133"/>
      <c r="FRV92" s="133"/>
      <c r="FRW92" s="133"/>
      <c r="FRX92" s="133"/>
      <c r="FRY92" s="133"/>
      <c r="FRZ92" s="133"/>
      <c r="FSA92" s="133"/>
      <c r="FSB92" s="133"/>
      <c r="FSC92" s="133"/>
      <c r="FSD92" s="133"/>
      <c r="FSE92" s="133"/>
      <c r="FSF92" s="133"/>
      <c r="FSG92" s="133"/>
      <c r="FSH92" s="133"/>
      <c r="FSI92" s="133"/>
      <c r="FSJ92" s="133"/>
      <c r="FSK92" s="133"/>
      <c r="FSL92" s="133"/>
      <c r="FSM92" s="133"/>
      <c r="FSN92" s="133"/>
      <c r="FSO92" s="133"/>
      <c r="FSP92" s="133"/>
      <c r="FSQ92" s="133"/>
      <c r="FSR92" s="133"/>
      <c r="FSS92" s="133"/>
      <c r="FST92" s="133"/>
      <c r="FSU92" s="133"/>
      <c r="FSV92" s="133"/>
      <c r="FSW92" s="133"/>
      <c r="FSX92" s="133"/>
      <c r="FSY92" s="133"/>
      <c r="FSZ92" s="133"/>
      <c r="FTA92" s="133"/>
      <c r="FTB92" s="133"/>
      <c r="FTC92" s="133"/>
      <c r="FTD92" s="133"/>
      <c r="FTE92" s="133"/>
      <c r="FTF92" s="133"/>
      <c r="FTG92" s="133"/>
      <c r="FTH92" s="133"/>
      <c r="FTI92" s="133"/>
      <c r="FTJ92" s="133"/>
      <c r="FTK92" s="133"/>
      <c r="FTL92" s="133"/>
      <c r="FTM92" s="133"/>
      <c r="FTN92" s="133"/>
      <c r="FTO92" s="133"/>
      <c r="FTP92" s="133"/>
      <c r="FTQ92" s="133"/>
      <c r="FTR92" s="133"/>
      <c r="FTS92" s="133"/>
      <c r="FTT92" s="133"/>
      <c r="FTU92" s="133"/>
      <c r="FTV92" s="133"/>
      <c r="FTW92" s="133"/>
      <c r="FTX92" s="133"/>
      <c r="FTY92" s="133"/>
      <c r="FTZ92" s="133"/>
      <c r="FUA92" s="133"/>
      <c r="FUB92" s="133"/>
      <c r="FUC92" s="133"/>
      <c r="FUD92" s="133"/>
      <c r="FUE92" s="133"/>
      <c r="FUF92" s="133"/>
      <c r="FUG92" s="133"/>
      <c r="FUH92" s="133"/>
      <c r="FUI92" s="133"/>
      <c r="FUJ92" s="133"/>
      <c r="FUK92" s="133"/>
      <c r="FUL92" s="133"/>
      <c r="FUM92" s="133"/>
      <c r="FUN92" s="133"/>
      <c r="FUO92" s="133"/>
      <c r="FUP92" s="133"/>
      <c r="FUQ92" s="133"/>
      <c r="FUR92" s="133"/>
      <c r="FUS92" s="133"/>
      <c r="FUT92" s="133"/>
      <c r="FUU92" s="133"/>
      <c r="FUV92" s="133"/>
      <c r="FUW92" s="133"/>
      <c r="FUX92" s="133"/>
      <c r="FUY92" s="133"/>
      <c r="FUZ92" s="133"/>
      <c r="FVA92" s="133"/>
      <c r="FVB92" s="133"/>
      <c r="FVC92" s="133"/>
      <c r="FVD92" s="133"/>
      <c r="FVE92" s="133"/>
      <c r="FVF92" s="133"/>
      <c r="FVG92" s="133"/>
      <c r="FVH92" s="133"/>
      <c r="FVI92" s="133"/>
      <c r="FVJ92" s="133"/>
      <c r="FVK92" s="133"/>
      <c r="FVL92" s="133"/>
      <c r="FVM92" s="133"/>
      <c r="FVN92" s="133"/>
      <c r="FVO92" s="133"/>
      <c r="FVP92" s="133"/>
      <c r="FVQ92" s="133"/>
      <c r="FVR92" s="133"/>
      <c r="FVS92" s="133"/>
      <c r="FVT92" s="133"/>
      <c r="FVU92" s="133"/>
      <c r="FVV92" s="133"/>
      <c r="FVW92" s="133"/>
      <c r="FVX92" s="133"/>
      <c r="FVY92" s="133"/>
      <c r="FVZ92" s="133"/>
      <c r="FWA92" s="133"/>
      <c r="FWB92" s="133"/>
      <c r="FWC92" s="133"/>
      <c r="FWD92" s="133"/>
      <c r="FWE92" s="133"/>
      <c r="FWF92" s="133"/>
      <c r="FWG92" s="133"/>
      <c r="FWH92" s="133"/>
      <c r="FWI92" s="133"/>
      <c r="FWJ92" s="133"/>
      <c r="FWK92" s="133"/>
      <c r="FWL92" s="133"/>
      <c r="FWM92" s="133"/>
      <c r="FWN92" s="133"/>
      <c r="FWO92" s="133"/>
      <c r="FWP92" s="133"/>
      <c r="FWQ92" s="133"/>
      <c r="FWR92" s="133"/>
      <c r="FWS92" s="133"/>
      <c r="FWT92" s="133"/>
      <c r="FWU92" s="133"/>
      <c r="FWV92" s="133"/>
      <c r="FWW92" s="133"/>
      <c r="FWX92" s="133"/>
      <c r="FWY92" s="133"/>
      <c r="FWZ92" s="133"/>
      <c r="FXA92" s="133"/>
      <c r="FXB92" s="133"/>
      <c r="FXC92" s="133"/>
      <c r="FXD92" s="133"/>
      <c r="FXE92" s="133"/>
      <c r="FXF92" s="133"/>
      <c r="FXG92" s="133"/>
      <c r="FXH92" s="133"/>
      <c r="FXI92" s="133"/>
      <c r="FXJ92" s="133"/>
      <c r="FXK92" s="133"/>
      <c r="FXL92" s="133"/>
      <c r="FXM92" s="133"/>
      <c r="FXN92" s="133"/>
      <c r="FXO92" s="133"/>
      <c r="FXP92" s="133"/>
      <c r="FXQ92" s="133"/>
      <c r="FXR92" s="133"/>
      <c r="FXS92" s="133"/>
      <c r="FXT92" s="133"/>
      <c r="FXU92" s="133"/>
      <c r="FXV92" s="133"/>
      <c r="FXW92" s="133"/>
      <c r="FXX92" s="133"/>
      <c r="FXY92" s="133"/>
      <c r="FXZ92" s="133"/>
      <c r="FYA92" s="133"/>
      <c r="FYB92" s="133"/>
      <c r="FYC92" s="133"/>
      <c r="FYD92" s="133"/>
      <c r="FYE92" s="133"/>
      <c r="FYF92" s="133"/>
      <c r="FYG92" s="133"/>
      <c r="FYH92" s="133"/>
      <c r="FYI92" s="133"/>
      <c r="FYJ92" s="133"/>
      <c r="FYK92" s="133"/>
      <c r="FYL92" s="133"/>
      <c r="FYM92" s="133"/>
      <c r="FYN92" s="133"/>
      <c r="FYO92" s="133"/>
      <c r="FYP92" s="133"/>
      <c r="FYQ92" s="133"/>
      <c r="FYR92" s="133"/>
      <c r="FYS92" s="133"/>
      <c r="FYT92" s="133"/>
      <c r="FYU92" s="133"/>
      <c r="FYV92" s="133"/>
      <c r="FYW92" s="133"/>
      <c r="FYX92" s="133"/>
      <c r="FYY92" s="133"/>
      <c r="FYZ92" s="133"/>
      <c r="FZA92" s="133"/>
      <c r="FZB92" s="133"/>
      <c r="FZC92" s="133"/>
      <c r="FZD92" s="133"/>
      <c r="FZE92" s="133"/>
      <c r="FZF92" s="133"/>
      <c r="FZG92" s="133"/>
      <c r="FZH92" s="133"/>
      <c r="FZI92" s="133"/>
      <c r="FZJ92" s="133"/>
      <c r="FZK92" s="133"/>
      <c r="FZL92" s="133"/>
      <c r="FZM92" s="133"/>
      <c r="FZN92" s="133"/>
      <c r="FZO92" s="133"/>
      <c r="FZP92" s="133"/>
      <c r="FZQ92" s="133"/>
      <c r="FZR92" s="133"/>
      <c r="FZS92" s="133"/>
      <c r="FZT92" s="133"/>
      <c r="FZU92" s="133"/>
      <c r="FZV92" s="133"/>
      <c r="FZW92" s="133"/>
      <c r="FZX92" s="133"/>
      <c r="FZY92" s="133"/>
      <c r="FZZ92" s="133"/>
      <c r="GAA92" s="133"/>
      <c r="GAB92" s="133"/>
      <c r="GAC92" s="133"/>
      <c r="GAD92" s="133"/>
      <c r="GAE92" s="133"/>
      <c r="GAF92" s="133"/>
      <c r="GAG92" s="133"/>
      <c r="GAH92" s="133"/>
      <c r="GAI92" s="133"/>
      <c r="GAJ92" s="133"/>
      <c r="GAK92" s="133"/>
      <c r="GAL92" s="133"/>
      <c r="GAM92" s="133"/>
      <c r="GAN92" s="133"/>
      <c r="GAO92" s="133"/>
      <c r="GAP92" s="133"/>
      <c r="GAQ92" s="133"/>
      <c r="GAR92" s="133"/>
      <c r="GAS92" s="133"/>
      <c r="GAT92" s="133"/>
      <c r="GAU92" s="133"/>
      <c r="GAV92" s="133"/>
      <c r="GAW92" s="133"/>
      <c r="GAX92" s="133"/>
      <c r="GAY92" s="133"/>
      <c r="GAZ92" s="133"/>
      <c r="GBA92" s="133"/>
      <c r="GBB92" s="133"/>
      <c r="GBC92" s="133"/>
      <c r="GBD92" s="133"/>
      <c r="GBE92" s="133"/>
      <c r="GBF92" s="133"/>
      <c r="GBG92" s="133"/>
      <c r="GBH92" s="133"/>
      <c r="GBI92" s="133"/>
      <c r="GBJ92" s="133"/>
      <c r="GBK92" s="133"/>
      <c r="GBL92" s="133"/>
      <c r="GBM92" s="133"/>
      <c r="GBN92" s="133"/>
      <c r="GBO92" s="133"/>
      <c r="GBP92" s="133"/>
      <c r="GBQ92" s="133"/>
      <c r="GBR92" s="133"/>
      <c r="GBS92" s="133"/>
      <c r="GBT92" s="133"/>
      <c r="GBU92" s="133"/>
      <c r="GBV92" s="133"/>
      <c r="GBW92" s="133"/>
      <c r="GBX92" s="133"/>
      <c r="GBY92" s="133"/>
      <c r="GBZ92" s="133"/>
      <c r="GCA92" s="133"/>
      <c r="GCB92" s="133"/>
      <c r="GCC92" s="133"/>
      <c r="GCD92" s="133"/>
      <c r="GCE92" s="133"/>
      <c r="GCF92" s="133"/>
      <c r="GCG92" s="133"/>
      <c r="GCH92" s="133"/>
      <c r="GCI92" s="133"/>
      <c r="GCJ92" s="133"/>
      <c r="GCK92" s="133"/>
      <c r="GCL92" s="133"/>
      <c r="GCM92" s="133"/>
      <c r="GCN92" s="133"/>
      <c r="GCO92" s="133"/>
      <c r="GCP92" s="133"/>
      <c r="GCQ92" s="133"/>
      <c r="GCR92" s="133"/>
      <c r="GCS92" s="133"/>
      <c r="GCT92" s="133"/>
      <c r="GCU92" s="133"/>
      <c r="GCV92" s="133"/>
      <c r="GCW92" s="133"/>
      <c r="GCX92" s="133"/>
      <c r="GCY92" s="133"/>
      <c r="GCZ92" s="133"/>
      <c r="GDA92" s="133"/>
      <c r="GDB92" s="133"/>
      <c r="GDC92" s="133"/>
      <c r="GDD92" s="133"/>
      <c r="GDE92" s="133"/>
      <c r="GDF92" s="133"/>
      <c r="GDG92" s="133"/>
      <c r="GDH92" s="133"/>
      <c r="GDI92" s="133"/>
      <c r="GDJ92" s="133"/>
      <c r="GDK92" s="133"/>
      <c r="GDL92" s="133"/>
      <c r="GDM92" s="133"/>
      <c r="GDN92" s="133"/>
      <c r="GDO92" s="133"/>
      <c r="GDP92" s="133"/>
      <c r="GDQ92" s="133"/>
      <c r="GDR92" s="133"/>
      <c r="GDS92" s="133"/>
      <c r="GDT92" s="133"/>
      <c r="GDU92" s="133"/>
      <c r="GDV92" s="133"/>
      <c r="GDW92" s="133"/>
      <c r="GDX92" s="133"/>
      <c r="GDY92" s="133"/>
      <c r="GDZ92" s="133"/>
      <c r="GEA92" s="133"/>
      <c r="GEB92" s="133"/>
      <c r="GEC92" s="133"/>
      <c r="GED92" s="133"/>
      <c r="GEE92" s="133"/>
      <c r="GEF92" s="133"/>
      <c r="GEG92" s="133"/>
      <c r="GEH92" s="133"/>
      <c r="GEI92" s="133"/>
      <c r="GEJ92" s="133"/>
      <c r="GEK92" s="133"/>
      <c r="GEL92" s="133"/>
      <c r="GEM92" s="133"/>
      <c r="GEN92" s="133"/>
      <c r="GEO92" s="133"/>
      <c r="GEP92" s="133"/>
      <c r="GEQ92" s="133"/>
      <c r="GER92" s="133"/>
      <c r="GES92" s="133"/>
      <c r="GET92" s="133"/>
      <c r="GEU92" s="133"/>
      <c r="GEV92" s="133"/>
      <c r="GEW92" s="133"/>
      <c r="GEX92" s="133"/>
      <c r="GEY92" s="133"/>
      <c r="GEZ92" s="133"/>
      <c r="GFA92" s="133"/>
      <c r="GFB92" s="133"/>
      <c r="GFC92" s="133"/>
      <c r="GFD92" s="133"/>
      <c r="GFE92" s="133"/>
      <c r="GFF92" s="133"/>
      <c r="GFG92" s="133"/>
      <c r="GFH92" s="133"/>
      <c r="GFI92" s="133"/>
      <c r="GFJ92" s="133"/>
      <c r="GFK92" s="133"/>
      <c r="GFL92" s="133"/>
      <c r="GFM92" s="133"/>
      <c r="GFN92" s="133"/>
      <c r="GFO92" s="133"/>
      <c r="GFP92" s="133"/>
      <c r="GFQ92" s="133"/>
      <c r="GFR92" s="133"/>
      <c r="GFS92" s="133"/>
      <c r="GFT92" s="133"/>
      <c r="GFU92" s="133"/>
      <c r="GFV92" s="133"/>
      <c r="GFW92" s="133"/>
      <c r="GFX92" s="133"/>
      <c r="GFY92" s="133"/>
      <c r="GFZ92" s="133"/>
      <c r="GGA92" s="133"/>
      <c r="GGB92" s="133"/>
      <c r="GGC92" s="133"/>
      <c r="GGD92" s="133"/>
      <c r="GGE92" s="133"/>
      <c r="GGF92" s="133"/>
      <c r="GGG92" s="133"/>
      <c r="GGH92" s="133"/>
      <c r="GGI92" s="133"/>
      <c r="GGJ92" s="133"/>
      <c r="GGK92" s="133"/>
      <c r="GGL92" s="133"/>
      <c r="GGM92" s="133"/>
      <c r="GGN92" s="133"/>
      <c r="GGO92" s="133"/>
      <c r="GGP92" s="133"/>
      <c r="GGQ92" s="133"/>
      <c r="GGR92" s="133"/>
      <c r="GGS92" s="133"/>
      <c r="GGT92" s="133"/>
      <c r="GGU92" s="133"/>
      <c r="GGV92" s="133"/>
      <c r="GGW92" s="133"/>
      <c r="GGX92" s="133"/>
      <c r="GGY92" s="133"/>
      <c r="GGZ92" s="133"/>
      <c r="GHA92" s="133"/>
      <c r="GHB92" s="133"/>
      <c r="GHC92" s="133"/>
      <c r="GHD92" s="133"/>
      <c r="GHE92" s="133"/>
      <c r="GHF92" s="133"/>
      <c r="GHG92" s="133"/>
      <c r="GHH92" s="133"/>
      <c r="GHI92" s="133"/>
      <c r="GHJ92" s="133"/>
      <c r="GHK92" s="133"/>
      <c r="GHL92" s="133"/>
      <c r="GHM92" s="133"/>
      <c r="GHN92" s="133"/>
      <c r="GHO92" s="133"/>
      <c r="GHP92" s="133"/>
      <c r="GHQ92" s="133"/>
      <c r="GHR92" s="133"/>
      <c r="GHS92" s="133"/>
      <c r="GHT92" s="133"/>
      <c r="GHU92" s="133"/>
      <c r="GHV92" s="133"/>
      <c r="GHW92" s="133"/>
      <c r="GHX92" s="133"/>
      <c r="GHY92" s="133"/>
      <c r="GHZ92" s="133"/>
      <c r="GIA92" s="133"/>
      <c r="GIB92" s="133"/>
      <c r="GIC92" s="133"/>
      <c r="GID92" s="133"/>
      <c r="GIE92" s="133"/>
      <c r="GIF92" s="133"/>
      <c r="GIG92" s="133"/>
      <c r="GIH92" s="133"/>
      <c r="GII92" s="133"/>
      <c r="GIJ92" s="133"/>
      <c r="GIK92" s="133"/>
      <c r="GIL92" s="133"/>
      <c r="GIM92" s="133"/>
      <c r="GIN92" s="133"/>
      <c r="GIO92" s="133"/>
      <c r="GIP92" s="133"/>
      <c r="GIQ92" s="133"/>
      <c r="GIR92" s="133"/>
      <c r="GIS92" s="133"/>
      <c r="GIT92" s="133"/>
      <c r="GIU92" s="133"/>
      <c r="GIV92" s="133"/>
      <c r="GIW92" s="133"/>
      <c r="GIX92" s="133"/>
      <c r="GIY92" s="133"/>
      <c r="GIZ92" s="133"/>
      <c r="GJA92" s="133"/>
      <c r="GJB92" s="133"/>
      <c r="GJC92" s="133"/>
      <c r="GJD92" s="133"/>
      <c r="GJE92" s="133"/>
      <c r="GJF92" s="133"/>
      <c r="GJG92" s="133"/>
      <c r="GJH92" s="133"/>
      <c r="GJI92" s="133"/>
      <c r="GJJ92" s="133"/>
      <c r="GJK92" s="133"/>
      <c r="GJL92" s="133"/>
      <c r="GJM92" s="133"/>
      <c r="GJN92" s="133"/>
      <c r="GJO92" s="133"/>
      <c r="GJP92" s="133"/>
      <c r="GJQ92" s="133"/>
      <c r="GJR92" s="133"/>
      <c r="GJS92" s="133"/>
      <c r="GJT92" s="133"/>
      <c r="GJU92" s="133"/>
      <c r="GJV92" s="133"/>
      <c r="GJW92" s="133"/>
      <c r="GJX92" s="133"/>
      <c r="GJY92" s="133"/>
      <c r="GJZ92" s="133"/>
      <c r="GKA92" s="133"/>
      <c r="GKB92" s="133"/>
      <c r="GKC92" s="133"/>
      <c r="GKD92" s="133"/>
      <c r="GKE92" s="133"/>
      <c r="GKF92" s="133"/>
      <c r="GKG92" s="133"/>
      <c r="GKH92" s="133"/>
      <c r="GKI92" s="133"/>
      <c r="GKJ92" s="133"/>
      <c r="GKK92" s="133"/>
      <c r="GKL92" s="133"/>
      <c r="GKM92" s="133"/>
      <c r="GKN92" s="133"/>
      <c r="GKO92" s="133"/>
      <c r="GKP92" s="133"/>
      <c r="GKQ92" s="133"/>
      <c r="GKR92" s="133"/>
      <c r="GKS92" s="133"/>
      <c r="GKT92" s="133"/>
      <c r="GKU92" s="133"/>
      <c r="GKV92" s="133"/>
      <c r="GKW92" s="133"/>
      <c r="GKX92" s="133"/>
      <c r="GKY92" s="133"/>
      <c r="GKZ92" s="133"/>
      <c r="GLA92" s="133"/>
      <c r="GLB92" s="133"/>
      <c r="GLC92" s="133"/>
      <c r="GLD92" s="133"/>
      <c r="GLE92" s="133"/>
      <c r="GLF92" s="133"/>
      <c r="GLG92" s="133"/>
      <c r="GLH92" s="133"/>
      <c r="GLI92" s="133"/>
      <c r="GLJ92" s="133"/>
      <c r="GLK92" s="133"/>
      <c r="GLL92" s="133"/>
      <c r="GLM92" s="133"/>
      <c r="GLN92" s="133"/>
      <c r="GLO92" s="133"/>
      <c r="GLP92" s="133"/>
      <c r="GLQ92" s="133"/>
      <c r="GLR92" s="133"/>
      <c r="GLS92" s="133"/>
      <c r="GLT92" s="133"/>
      <c r="GLU92" s="133"/>
      <c r="GLV92" s="133"/>
      <c r="GLW92" s="133"/>
      <c r="GLX92" s="133"/>
      <c r="GLY92" s="133"/>
      <c r="GLZ92" s="133"/>
      <c r="GMA92" s="133"/>
      <c r="GMB92" s="133"/>
      <c r="GMC92" s="133"/>
      <c r="GMD92" s="133"/>
      <c r="GME92" s="133"/>
      <c r="GMF92" s="133"/>
      <c r="GMG92" s="133"/>
      <c r="GMH92" s="133"/>
      <c r="GMI92" s="133"/>
      <c r="GMJ92" s="133"/>
      <c r="GMK92" s="133"/>
      <c r="GML92" s="133"/>
      <c r="GMM92" s="133"/>
      <c r="GMN92" s="133"/>
      <c r="GMO92" s="133"/>
      <c r="GMP92" s="133"/>
      <c r="GMQ92" s="133"/>
      <c r="GMR92" s="133"/>
      <c r="GMS92" s="133"/>
      <c r="GMT92" s="133"/>
      <c r="GMU92" s="133"/>
      <c r="GMV92" s="133"/>
      <c r="GMW92" s="133"/>
      <c r="GMX92" s="133"/>
      <c r="GMY92" s="133"/>
      <c r="GMZ92" s="133"/>
      <c r="GNA92" s="133"/>
      <c r="GNB92" s="133"/>
      <c r="GNC92" s="133"/>
      <c r="GND92" s="133"/>
      <c r="GNE92" s="133"/>
      <c r="GNF92" s="133"/>
      <c r="GNG92" s="133"/>
      <c r="GNH92" s="133"/>
      <c r="GNI92" s="133"/>
      <c r="GNJ92" s="133"/>
      <c r="GNK92" s="133"/>
      <c r="GNL92" s="133"/>
      <c r="GNM92" s="133"/>
      <c r="GNN92" s="133"/>
      <c r="GNO92" s="133"/>
      <c r="GNP92" s="133"/>
      <c r="GNQ92" s="133"/>
      <c r="GNR92" s="133"/>
      <c r="GNS92" s="133"/>
      <c r="GNT92" s="133"/>
      <c r="GNU92" s="133"/>
      <c r="GNV92" s="133"/>
      <c r="GNW92" s="133"/>
      <c r="GNX92" s="133"/>
      <c r="GNY92" s="133"/>
      <c r="GNZ92" s="133"/>
      <c r="GOA92" s="133"/>
      <c r="GOB92" s="133"/>
      <c r="GOC92" s="133"/>
      <c r="GOD92" s="133"/>
      <c r="GOE92" s="133"/>
      <c r="GOF92" s="133"/>
      <c r="GOG92" s="133"/>
      <c r="GOH92" s="133"/>
      <c r="GOI92" s="133"/>
      <c r="GOJ92" s="133"/>
      <c r="GOK92" s="133"/>
      <c r="GOL92" s="133"/>
      <c r="GOM92" s="133"/>
      <c r="GON92" s="133"/>
      <c r="GOO92" s="133"/>
      <c r="GOP92" s="133"/>
      <c r="GOQ92" s="133"/>
      <c r="GOR92" s="133"/>
      <c r="GOS92" s="133"/>
      <c r="GOT92" s="133"/>
      <c r="GOU92" s="133"/>
      <c r="GOV92" s="133"/>
      <c r="GOW92" s="133"/>
      <c r="GOX92" s="133"/>
      <c r="GOY92" s="133"/>
      <c r="GOZ92" s="133"/>
      <c r="GPA92" s="133"/>
      <c r="GPB92" s="133"/>
      <c r="GPC92" s="133"/>
      <c r="GPD92" s="133"/>
      <c r="GPE92" s="133"/>
      <c r="GPF92" s="133"/>
      <c r="GPG92" s="133"/>
      <c r="GPH92" s="133"/>
      <c r="GPI92" s="133"/>
      <c r="GPJ92" s="133"/>
      <c r="GPK92" s="133"/>
      <c r="GPL92" s="133"/>
      <c r="GPM92" s="133"/>
      <c r="GPN92" s="133"/>
      <c r="GPO92" s="133"/>
      <c r="GPP92" s="133"/>
      <c r="GPQ92" s="133"/>
      <c r="GPR92" s="133"/>
      <c r="GPS92" s="133"/>
      <c r="GPT92" s="133"/>
      <c r="GPU92" s="133"/>
      <c r="GPV92" s="133"/>
      <c r="GPW92" s="133"/>
      <c r="GPX92" s="133"/>
      <c r="GPY92" s="133"/>
      <c r="GPZ92" s="133"/>
      <c r="GQA92" s="133"/>
      <c r="GQB92" s="133"/>
      <c r="GQC92" s="133"/>
      <c r="GQD92" s="133"/>
      <c r="GQE92" s="133"/>
      <c r="GQF92" s="133"/>
      <c r="GQG92" s="133"/>
      <c r="GQH92" s="133"/>
      <c r="GQI92" s="133"/>
      <c r="GQJ92" s="133"/>
      <c r="GQK92" s="133"/>
      <c r="GQL92" s="133"/>
      <c r="GQM92" s="133"/>
      <c r="GQN92" s="133"/>
      <c r="GQO92" s="133"/>
      <c r="GQP92" s="133"/>
      <c r="GQQ92" s="133"/>
      <c r="GQR92" s="133"/>
      <c r="GQS92" s="133"/>
      <c r="GQT92" s="133"/>
      <c r="GQU92" s="133"/>
      <c r="GQV92" s="133"/>
      <c r="GQW92" s="133"/>
      <c r="GQX92" s="133"/>
      <c r="GQY92" s="133"/>
      <c r="GQZ92" s="133"/>
      <c r="GRA92" s="133"/>
      <c r="GRB92" s="133"/>
      <c r="GRC92" s="133"/>
      <c r="GRD92" s="133"/>
      <c r="GRE92" s="133"/>
      <c r="GRF92" s="133"/>
      <c r="GRG92" s="133"/>
      <c r="GRH92" s="133"/>
      <c r="GRI92" s="133"/>
      <c r="GRJ92" s="133"/>
      <c r="GRK92" s="133"/>
      <c r="GRL92" s="133"/>
      <c r="GRM92" s="133"/>
      <c r="GRN92" s="133"/>
      <c r="GRO92" s="133"/>
      <c r="GRP92" s="133"/>
      <c r="GRQ92" s="133"/>
      <c r="GRR92" s="133"/>
      <c r="GRS92" s="133"/>
      <c r="GRT92" s="133"/>
      <c r="GRU92" s="133"/>
      <c r="GRV92" s="133"/>
      <c r="GRW92" s="133"/>
      <c r="GRX92" s="133"/>
      <c r="GRY92" s="133"/>
      <c r="GRZ92" s="133"/>
      <c r="GSA92" s="133"/>
      <c r="GSB92" s="133"/>
      <c r="GSC92" s="133"/>
      <c r="GSD92" s="133"/>
      <c r="GSE92" s="133"/>
      <c r="GSF92" s="133"/>
      <c r="GSG92" s="133"/>
      <c r="GSH92" s="133"/>
      <c r="GSI92" s="133"/>
      <c r="GSJ92" s="133"/>
      <c r="GSK92" s="133"/>
      <c r="GSL92" s="133"/>
      <c r="GSM92" s="133"/>
      <c r="GSN92" s="133"/>
      <c r="GSO92" s="133"/>
      <c r="GSP92" s="133"/>
      <c r="GSQ92" s="133"/>
      <c r="GSR92" s="133"/>
      <c r="GSS92" s="133"/>
      <c r="GST92" s="133"/>
      <c r="GSU92" s="133"/>
      <c r="GSV92" s="133"/>
      <c r="GSW92" s="133"/>
      <c r="GSX92" s="133"/>
      <c r="GSY92" s="133"/>
      <c r="GSZ92" s="133"/>
      <c r="GTA92" s="133"/>
      <c r="GTB92" s="133"/>
      <c r="GTC92" s="133"/>
      <c r="GTD92" s="133"/>
      <c r="GTE92" s="133"/>
      <c r="GTF92" s="133"/>
      <c r="GTG92" s="133"/>
      <c r="GTH92" s="133"/>
      <c r="GTI92" s="133"/>
      <c r="GTJ92" s="133"/>
      <c r="GTK92" s="133"/>
      <c r="GTL92" s="133"/>
      <c r="GTM92" s="133"/>
      <c r="GTN92" s="133"/>
      <c r="GTO92" s="133"/>
      <c r="GTP92" s="133"/>
      <c r="GTQ92" s="133"/>
      <c r="GTR92" s="133"/>
      <c r="GTS92" s="133"/>
      <c r="GTT92" s="133"/>
      <c r="GTU92" s="133"/>
      <c r="GTV92" s="133"/>
      <c r="GTW92" s="133"/>
      <c r="GTX92" s="133"/>
      <c r="GTY92" s="133"/>
      <c r="GTZ92" s="133"/>
      <c r="GUA92" s="133"/>
      <c r="GUB92" s="133"/>
      <c r="GUC92" s="133"/>
      <c r="GUD92" s="133"/>
      <c r="GUE92" s="133"/>
      <c r="GUF92" s="133"/>
      <c r="GUG92" s="133"/>
      <c r="GUH92" s="133"/>
      <c r="GUI92" s="133"/>
      <c r="GUJ92" s="133"/>
      <c r="GUK92" s="133"/>
      <c r="GUL92" s="133"/>
      <c r="GUM92" s="133"/>
      <c r="GUN92" s="133"/>
      <c r="GUO92" s="133"/>
      <c r="GUP92" s="133"/>
      <c r="GUQ92" s="133"/>
      <c r="GUR92" s="133"/>
      <c r="GUS92" s="133"/>
      <c r="GUT92" s="133"/>
      <c r="GUU92" s="133"/>
      <c r="GUV92" s="133"/>
      <c r="GUW92" s="133"/>
      <c r="GUX92" s="133"/>
      <c r="GUY92" s="133"/>
      <c r="GUZ92" s="133"/>
      <c r="GVA92" s="133"/>
      <c r="GVB92" s="133"/>
      <c r="GVC92" s="133"/>
      <c r="GVD92" s="133"/>
      <c r="GVE92" s="133"/>
      <c r="GVF92" s="133"/>
      <c r="GVG92" s="133"/>
      <c r="GVH92" s="133"/>
      <c r="GVI92" s="133"/>
      <c r="GVJ92" s="133"/>
      <c r="GVK92" s="133"/>
      <c r="GVL92" s="133"/>
      <c r="GVM92" s="133"/>
      <c r="GVN92" s="133"/>
      <c r="GVO92" s="133"/>
      <c r="GVP92" s="133"/>
      <c r="GVQ92" s="133"/>
      <c r="GVR92" s="133"/>
      <c r="GVS92" s="133"/>
      <c r="GVT92" s="133"/>
      <c r="GVU92" s="133"/>
      <c r="GVV92" s="133"/>
      <c r="GVW92" s="133"/>
      <c r="GVX92" s="133"/>
      <c r="GVY92" s="133"/>
      <c r="GVZ92" s="133"/>
      <c r="GWA92" s="133"/>
      <c r="GWB92" s="133"/>
      <c r="GWC92" s="133"/>
      <c r="GWD92" s="133"/>
      <c r="GWE92" s="133"/>
      <c r="GWF92" s="133"/>
      <c r="GWG92" s="133"/>
      <c r="GWH92" s="133"/>
      <c r="GWI92" s="133"/>
      <c r="GWJ92" s="133"/>
      <c r="GWK92" s="133"/>
      <c r="GWL92" s="133"/>
      <c r="GWM92" s="133"/>
      <c r="GWN92" s="133"/>
      <c r="GWO92" s="133"/>
      <c r="GWP92" s="133"/>
      <c r="GWQ92" s="133"/>
      <c r="GWR92" s="133"/>
      <c r="GWS92" s="133"/>
      <c r="GWT92" s="133"/>
      <c r="GWU92" s="133"/>
      <c r="GWV92" s="133"/>
      <c r="GWW92" s="133"/>
      <c r="GWX92" s="133"/>
      <c r="GWY92" s="133"/>
      <c r="GWZ92" s="133"/>
      <c r="GXA92" s="133"/>
      <c r="GXB92" s="133"/>
      <c r="GXC92" s="133"/>
      <c r="GXD92" s="133"/>
      <c r="GXE92" s="133"/>
      <c r="GXF92" s="133"/>
      <c r="GXG92" s="133"/>
      <c r="GXH92" s="133"/>
      <c r="GXI92" s="133"/>
      <c r="GXJ92" s="133"/>
      <c r="GXK92" s="133"/>
      <c r="GXL92" s="133"/>
      <c r="GXM92" s="133"/>
      <c r="GXN92" s="133"/>
      <c r="GXO92" s="133"/>
      <c r="GXP92" s="133"/>
      <c r="GXQ92" s="133"/>
      <c r="GXR92" s="133"/>
      <c r="GXS92" s="133"/>
      <c r="GXT92" s="133"/>
      <c r="GXU92" s="133"/>
      <c r="GXV92" s="133"/>
      <c r="GXW92" s="133"/>
      <c r="GXX92" s="133"/>
      <c r="GXY92" s="133"/>
      <c r="GXZ92" s="133"/>
      <c r="GYA92" s="133"/>
      <c r="GYB92" s="133"/>
      <c r="GYC92" s="133"/>
      <c r="GYD92" s="133"/>
      <c r="GYE92" s="133"/>
      <c r="GYF92" s="133"/>
      <c r="GYG92" s="133"/>
      <c r="GYH92" s="133"/>
      <c r="GYI92" s="133"/>
      <c r="GYJ92" s="133"/>
      <c r="GYK92" s="133"/>
      <c r="GYL92" s="133"/>
      <c r="GYM92" s="133"/>
      <c r="GYN92" s="133"/>
      <c r="GYO92" s="133"/>
      <c r="GYP92" s="133"/>
      <c r="GYQ92" s="133"/>
      <c r="GYR92" s="133"/>
      <c r="GYS92" s="133"/>
      <c r="GYT92" s="133"/>
      <c r="GYU92" s="133"/>
      <c r="GYV92" s="133"/>
      <c r="GYW92" s="133"/>
      <c r="GYX92" s="133"/>
      <c r="GYY92" s="133"/>
      <c r="GYZ92" s="133"/>
      <c r="GZA92" s="133"/>
      <c r="GZB92" s="133"/>
      <c r="GZC92" s="133"/>
      <c r="GZD92" s="133"/>
      <c r="GZE92" s="133"/>
      <c r="GZF92" s="133"/>
      <c r="GZG92" s="133"/>
      <c r="GZH92" s="133"/>
      <c r="GZI92" s="133"/>
      <c r="GZJ92" s="133"/>
      <c r="GZK92" s="133"/>
      <c r="GZL92" s="133"/>
      <c r="GZM92" s="133"/>
      <c r="GZN92" s="133"/>
      <c r="GZO92" s="133"/>
      <c r="GZP92" s="133"/>
      <c r="GZQ92" s="133"/>
      <c r="GZR92" s="133"/>
      <c r="GZS92" s="133"/>
      <c r="GZT92" s="133"/>
      <c r="GZU92" s="133"/>
      <c r="GZV92" s="133"/>
      <c r="GZW92" s="133"/>
      <c r="GZX92" s="133"/>
      <c r="GZY92" s="133"/>
      <c r="GZZ92" s="133"/>
      <c r="HAA92" s="133"/>
      <c r="HAB92" s="133"/>
      <c r="HAC92" s="133"/>
      <c r="HAD92" s="133"/>
      <c r="HAE92" s="133"/>
      <c r="HAF92" s="133"/>
      <c r="HAG92" s="133"/>
      <c r="HAH92" s="133"/>
      <c r="HAI92" s="133"/>
      <c r="HAJ92" s="133"/>
      <c r="HAK92" s="133"/>
      <c r="HAL92" s="133"/>
      <c r="HAM92" s="133"/>
      <c r="HAN92" s="133"/>
      <c r="HAO92" s="133"/>
      <c r="HAP92" s="133"/>
      <c r="HAQ92" s="133"/>
      <c r="HAR92" s="133"/>
      <c r="HAS92" s="133"/>
      <c r="HAT92" s="133"/>
      <c r="HAU92" s="133"/>
      <c r="HAV92" s="133"/>
      <c r="HAW92" s="133"/>
      <c r="HAX92" s="133"/>
      <c r="HAY92" s="133"/>
      <c r="HAZ92" s="133"/>
      <c r="HBA92" s="133"/>
      <c r="HBB92" s="133"/>
      <c r="HBC92" s="133"/>
      <c r="HBD92" s="133"/>
      <c r="HBE92" s="133"/>
      <c r="HBF92" s="133"/>
      <c r="HBG92" s="133"/>
      <c r="HBH92" s="133"/>
      <c r="HBI92" s="133"/>
      <c r="HBJ92" s="133"/>
      <c r="HBK92" s="133"/>
      <c r="HBL92" s="133"/>
      <c r="HBM92" s="133"/>
      <c r="HBN92" s="133"/>
      <c r="HBO92" s="133"/>
      <c r="HBP92" s="133"/>
      <c r="HBQ92" s="133"/>
      <c r="HBR92" s="133"/>
      <c r="HBS92" s="133"/>
      <c r="HBT92" s="133"/>
      <c r="HBU92" s="133"/>
      <c r="HBV92" s="133"/>
      <c r="HBW92" s="133"/>
      <c r="HBX92" s="133"/>
      <c r="HBY92" s="133"/>
      <c r="HBZ92" s="133"/>
      <c r="HCA92" s="133"/>
      <c r="HCB92" s="133"/>
      <c r="HCC92" s="133"/>
      <c r="HCD92" s="133"/>
      <c r="HCE92" s="133"/>
      <c r="HCF92" s="133"/>
      <c r="HCG92" s="133"/>
      <c r="HCH92" s="133"/>
      <c r="HCI92" s="133"/>
      <c r="HCJ92" s="133"/>
      <c r="HCK92" s="133"/>
      <c r="HCL92" s="133"/>
      <c r="HCM92" s="133"/>
      <c r="HCN92" s="133"/>
      <c r="HCO92" s="133"/>
      <c r="HCP92" s="133"/>
      <c r="HCQ92" s="133"/>
      <c r="HCR92" s="133"/>
      <c r="HCS92" s="133"/>
      <c r="HCT92" s="133"/>
      <c r="HCU92" s="133"/>
      <c r="HCV92" s="133"/>
      <c r="HCW92" s="133"/>
      <c r="HCX92" s="133"/>
      <c r="HCY92" s="133"/>
      <c r="HCZ92" s="133"/>
      <c r="HDA92" s="133"/>
      <c r="HDB92" s="133"/>
      <c r="HDC92" s="133"/>
      <c r="HDD92" s="133"/>
      <c r="HDE92" s="133"/>
      <c r="HDF92" s="133"/>
      <c r="HDG92" s="133"/>
      <c r="HDH92" s="133"/>
      <c r="HDI92" s="133"/>
      <c r="HDJ92" s="133"/>
      <c r="HDK92" s="133"/>
      <c r="HDL92" s="133"/>
      <c r="HDM92" s="133"/>
      <c r="HDN92" s="133"/>
      <c r="HDO92" s="133"/>
      <c r="HDP92" s="133"/>
      <c r="HDQ92" s="133"/>
      <c r="HDR92" s="133"/>
      <c r="HDS92" s="133"/>
      <c r="HDT92" s="133"/>
      <c r="HDU92" s="133"/>
      <c r="HDV92" s="133"/>
      <c r="HDW92" s="133"/>
      <c r="HDX92" s="133"/>
      <c r="HDY92" s="133"/>
      <c r="HDZ92" s="133"/>
      <c r="HEA92" s="133"/>
      <c r="HEB92" s="133"/>
      <c r="HEC92" s="133"/>
      <c r="HED92" s="133"/>
      <c r="HEE92" s="133"/>
      <c r="HEF92" s="133"/>
      <c r="HEG92" s="133"/>
      <c r="HEH92" s="133"/>
      <c r="HEI92" s="133"/>
      <c r="HEJ92" s="133"/>
      <c r="HEK92" s="133"/>
      <c r="HEL92" s="133"/>
      <c r="HEM92" s="133"/>
      <c r="HEN92" s="133"/>
      <c r="HEO92" s="133"/>
      <c r="HEP92" s="133"/>
      <c r="HEQ92" s="133"/>
      <c r="HER92" s="133"/>
      <c r="HES92" s="133"/>
      <c r="HET92" s="133"/>
      <c r="HEU92" s="133"/>
      <c r="HEV92" s="133"/>
      <c r="HEW92" s="133"/>
      <c r="HEX92" s="133"/>
      <c r="HEY92" s="133"/>
      <c r="HEZ92" s="133"/>
      <c r="HFA92" s="133"/>
      <c r="HFB92" s="133"/>
      <c r="HFC92" s="133"/>
      <c r="HFD92" s="133"/>
      <c r="HFE92" s="133"/>
      <c r="HFF92" s="133"/>
      <c r="HFG92" s="133"/>
      <c r="HFH92" s="133"/>
      <c r="HFI92" s="133"/>
      <c r="HFJ92" s="133"/>
      <c r="HFK92" s="133"/>
      <c r="HFL92" s="133"/>
      <c r="HFM92" s="133"/>
      <c r="HFN92" s="133"/>
      <c r="HFO92" s="133"/>
      <c r="HFP92" s="133"/>
      <c r="HFQ92" s="133"/>
      <c r="HFR92" s="133"/>
      <c r="HFS92" s="133"/>
      <c r="HFT92" s="133"/>
      <c r="HFU92" s="133"/>
      <c r="HFV92" s="133"/>
      <c r="HFW92" s="133"/>
      <c r="HFX92" s="133"/>
      <c r="HFY92" s="133"/>
      <c r="HFZ92" s="133"/>
      <c r="HGA92" s="133"/>
      <c r="HGB92" s="133"/>
      <c r="HGC92" s="133"/>
      <c r="HGD92" s="133"/>
      <c r="HGE92" s="133"/>
      <c r="HGF92" s="133"/>
      <c r="HGG92" s="133"/>
      <c r="HGH92" s="133"/>
      <c r="HGI92" s="133"/>
      <c r="HGJ92" s="133"/>
      <c r="HGK92" s="133"/>
      <c r="HGL92" s="133"/>
      <c r="HGM92" s="133"/>
      <c r="HGN92" s="133"/>
      <c r="HGO92" s="133"/>
      <c r="HGP92" s="133"/>
      <c r="HGQ92" s="133"/>
      <c r="HGR92" s="133"/>
      <c r="HGS92" s="133"/>
      <c r="HGT92" s="133"/>
      <c r="HGU92" s="133"/>
      <c r="HGV92" s="133"/>
      <c r="HGW92" s="133"/>
      <c r="HGX92" s="133"/>
      <c r="HGY92" s="133"/>
      <c r="HGZ92" s="133"/>
      <c r="HHA92" s="133"/>
      <c r="HHB92" s="133"/>
      <c r="HHC92" s="133"/>
      <c r="HHD92" s="133"/>
      <c r="HHE92" s="133"/>
      <c r="HHF92" s="133"/>
      <c r="HHG92" s="133"/>
      <c r="HHH92" s="133"/>
      <c r="HHI92" s="133"/>
      <c r="HHJ92" s="133"/>
      <c r="HHK92" s="133"/>
      <c r="HHL92" s="133"/>
      <c r="HHM92" s="133"/>
      <c r="HHN92" s="133"/>
      <c r="HHO92" s="133"/>
      <c r="HHP92" s="133"/>
      <c r="HHQ92" s="133"/>
      <c r="HHR92" s="133"/>
      <c r="HHS92" s="133"/>
      <c r="HHT92" s="133"/>
      <c r="HHU92" s="133"/>
      <c r="HHV92" s="133"/>
      <c r="HHW92" s="133"/>
      <c r="HHX92" s="133"/>
      <c r="HHY92" s="133"/>
      <c r="HHZ92" s="133"/>
      <c r="HIA92" s="133"/>
      <c r="HIB92" s="133"/>
      <c r="HIC92" s="133"/>
      <c r="HID92" s="133"/>
      <c r="HIE92" s="133"/>
      <c r="HIF92" s="133"/>
      <c r="HIG92" s="133"/>
      <c r="HIH92" s="133"/>
      <c r="HII92" s="133"/>
      <c r="HIJ92" s="133"/>
      <c r="HIK92" s="133"/>
      <c r="HIL92" s="133"/>
      <c r="HIM92" s="133"/>
      <c r="HIN92" s="133"/>
      <c r="HIO92" s="133"/>
      <c r="HIP92" s="133"/>
      <c r="HIQ92" s="133"/>
      <c r="HIR92" s="133"/>
      <c r="HIS92" s="133"/>
      <c r="HIT92" s="133"/>
      <c r="HIU92" s="133"/>
      <c r="HIV92" s="133"/>
      <c r="HIW92" s="133"/>
      <c r="HIX92" s="133"/>
      <c r="HIY92" s="133"/>
      <c r="HIZ92" s="133"/>
      <c r="HJA92" s="133"/>
      <c r="HJB92" s="133"/>
      <c r="HJC92" s="133"/>
      <c r="HJD92" s="133"/>
      <c r="HJE92" s="133"/>
      <c r="HJF92" s="133"/>
      <c r="HJG92" s="133"/>
      <c r="HJH92" s="133"/>
      <c r="HJI92" s="133"/>
      <c r="HJJ92" s="133"/>
      <c r="HJK92" s="133"/>
      <c r="HJL92" s="133"/>
      <c r="HJM92" s="133"/>
      <c r="HJN92" s="133"/>
      <c r="HJO92" s="133"/>
      <c r="HJP92" s="133"/>
      <c r="HJQ92" s="133"/>
      <c r="HJR92" s="133"/>
      <c r="HJS92" s="133"/>
      <c r="HJT92" s="133"/>
      <c r="HJU92" s="133"/>
      <c r="HJV92" s="133"/>
      <c r="HJW92" s="133"/>
      <c r="HJX92" s="133"/>
      <c r="HJY92" s="133"/>
      <c r="HJZ92" s="133"/>
      <c r="HKA92" s="133"/>
      <c r="HKB92" s="133"/>
      <c r="HKC92" s="133"/>
      <c r="HKD92" s="133"/>
      <c r="HKE92" s="133"/>
      <c r="HKF92" s="133"/>
      <c r="HKG92" s="133"/>
      <c r="HKH92" s="133"/>
      <c r="HKI92" s="133"/>
      <c r="HKJ92" s="133"/>
      <c r="HKK92" s="133"/>
      <c r="HKL92" s="133"/>
      <c r="HKM92" s="133"/>
      <c r="HKN92" s="133"/>
      <c r="HKO92" s="133"/>
      <c r="HKP92" s="133"/>
      <c r="HKQ92" s="133"/>
      <c r="HKR92" s="133"/>
      <c r="HKS92" s="133"/>
      <c r="HKT92" s="133"/>
      <c r="HKU92" s="133"/>
      <c r="HKV92" s="133"/>
      <c r="HKW92" s="133"/>
      <c r="HKX92" s="133"/>
      <c r="HKY92" s="133"/>
      <c r="HKZ92" s="133"/>
      <c r="HLA92" s="133"/>
      <c r="HLB92" s="133"/>
      <c r="HLC92" s="133"/>
      <c r="HLD92" s="133"/>
      <c r="HLE92" s="133"/>
      <c r="HLF92" s="133"/>
      <c r="HLG92" s="133"/>
      <c r="HLH92" s="133"/>
      <c r="HLI92" s="133"/>
      <c r="HLJ92" s="133"/>
      <c r="HLK92" s="133"/>
      <c r="HLL92" s="133"/>
      <c r="HLM92" s="133"/>
      <c r="HLN92" s="133"/>
      <c r="HLO92" s="133"/>
      <c r="HLP92" s="133"/>
      <c r="HLQ92" s="133"/>
      <c r="HLR92" s="133"/>
      <c r="HLS92" s="133"/>
      <c r="HLT92" s="133"/>
      <c r="HLU92" s="133"/>
      <c r="HLV92" s="133"/>
      <c r="HLW92" s="133"/>
      <c r="HLX92" s="133"/>
      <c r="HLY92" s="133"/>
      <c r="HLZ92" s="133"/>
      <c r="HMA92" s="133"/>
      <c r="HMB92" s="133"/>
      <c r="HMC92" s="133"/>
      <c r="HMD92" s="133"/>
      <c r="HME92" s="133"/>
      <c r="HMF92" s="133"/>
      <c r="HMG92" s="133"/>
      <c r="HMH92" s="133"/>
      <c r="HMI92" s="133"/>
      <c r="HMJ92" s="133"/>
      <c r="HMK92" s="133"/>
      <c r="HML92" s="133"/>
      <c r="HMM92" s="133"/>
      <c r="HMN92" s="133"/>
      <c r="HMO92" s="133"/>
      <c r="HMP92" s="133"/>
      <c r="HMQ92" s="133"/>
      <c r="HMR92" s="133"/>
      <c r="HMS92" s="133"/>
      <c r="HMT92" s="133"/>
      <c r="HMU92" s="133"/>
      <c r="HMV92" s="133"/>
      <c r="HMW92" s="133"/>
      <c r="HMX92" s="133"/>
      <c r="HMY92" s="133"/>
      <c r="HMZ92" s="133"/>
      <c r="HNA92" s="133"/>
      <c r="HNB92" s="133"/>
      <c r="HNC92" s="133"/>
      <c r="HND92" s="133"/>
      <c r="HNE92" s="133"/>
      <c r="HNF92" s="133"/>
      <c r="HNG92" s="133"/>
      <c r="HNH92" s="133"/>
      <c r="HNI92" s="133"/>
      <c r="HNJ92" s="133"/>
      <c r="HNK92" s="133"/>
      <c r="HNL92" s="133"/>
      <c r="HNM92" s="133"/>
      <c r="HNN92" s="133"/>
      <c r="HNO92" s="133"/>
      <c r="HNP92" s="133"/>
      <c r="HNQ92" s="133"/>
      <c r="HNR92" s="133"/>
      <c r="HNS92" s="133"/>
      <c r="HNT92" s="133"/>
      <c r="HNU92" s="133"/>
      <c r="HNV92" s="133"/>
      <c r="HNW92" s="133"/>
      <c r="HNX92" s="133"/>
      <c r="HNY92" s="133"/>
      <c r="HNZ92" s="133"/>
      <c r="HOA92" s="133"/>
      <c r="HOB92" s="133"/>
      <c r="HOC92" s="133"/>
      <c r="HOD92" s="133"/>
      <c r="HOE92" s="133"/>
      <c r="HOF92" s="133"/>
      <c r="HOG92" s="133"/>
      <c r="HOH92" s="133"/>
      <c r="HOI92" s="133"/>
      <c r="HOJ92" s="133"/>
      <c r="HOK92" s="133"/>
      <c r="HOL92" s="133"/>
      <c r="HOM92" s="133"/>
      <c r="HON92" s="133"/>
      <c r="HOO92" s="133"/>
      <c r="HOP92" s="133"/>
      <c r="HOQ92" s="133"/>
      <c r="HOR92" s="133"/>
      <c r="HOS92" s="133"/>
      <c r="HOT92" s="133"/>
      <c r="HOU92" s="133"/>
      <c r="HOV92" s="133"/>
      <c r="HOW92" s="133"/>
      <c r="HOX92" s="133"/>
      <c r="HOY92" s="133"/>
      <c r="HOZ92" s="133"/>
      <c r="HPA92" s="133"/>
      <c r="HPB92" s="133"/>
      <c r="HPC92" s="133"/>
      <c r="HPD92" s="133"/>
      <c r="HPE92" s="133"/>
      <c r="HPF92" s="133"/>
      <c r="HPG92" s="133"/>
      <c r="HPH92" s="133"/>
      <c r="HPI92" s="133"/>
      <c r="HPJ92" s="133"/>
      <c r="HPK92" s="133"/>
      <c r="HPL92" s="133"/>
      <c r="HPM92" s="133"/>
      <c r="HPN92" s="133"/>
      <c r="HPO92" s="133"/>
      <c r="HPP92" s="133"/>
      <c r="HPQ92" s="133"/>
      <c r="HPR92" s="133"/>
      <c r="HPS92" s="133"/>
      <c r="HPT92" s="133"/>
      <c r="HPU92" s="133"/>
      <c r="HPV92" s="133"/>
      <c r="HPW92" s="133"/>
      <c r="HPX92" s="133"/>
      <c r="HPY92" s="133"/>
      <c r="HPZ92" s="133"/>
      <c r="HQA92" s="133"/>
      <c r="HQB92" s="133"/>
      <c r="HQC92" s="133"/>
      <c r="HQD92" s="133"/>
      <c r="HQE92" s="133"/>
      <c r="HQF92" s="133"/>
      <c r="HQG92" s="133"/>
      <c r="HQH92" s="133"/>
      <c r="HQI92" s="133"/>
      <c r="HQJ92" s="133"/>
      <c r="HQK92" s="133"/>
      <c r="HQL92" s="133"/>
      <c r="HQM92" s="133"/>
      <c r="HQN92" s="133"/>
      <c r="HQO92" s="133"/>
      <c r="HQP92" s="133"/>
      <c r="HQQ92" s="133"/>
      <c r="HQR92" s="133"/>
      <c r="HQS92" s="133"/>
      <c r="HQT92" s="133"/>
      <c r="HQU92" s="133"/>
      <c r="HQV92" s="133"/>
      <c r="HQW92" s="133"/>
      <c r="HQX92" s="133"/>
      <c r="HQY92" s="133"/>
      <c r="HQZ92" s="133"/>
      <c r="HRA92" s="133"/>
      <c r="HRB92" s="133"/>
      <c r="HRC92" s="133"/>
      <c r="HRD92" s="133"/>
      <c r="HRE92" s="133"/>
      <c r="HRF92" s="133"/>
      <c r="HRG92" s="133"/>
      <c r="HRH92" s="133"/>
      <c r="HRI92" s="133"/>
      <c r="HRJ92" s="133"/>
      <c r="HRK92" s="133"/>
      <c r="HRL92" s="133"/>
      <c r="HRM92" s="133"/>
      <c r="HRN92" s="133"/>
      <c r="HRO92" s="133"/>
      <c r="HRP92" s="133"/>
      <c r="HRQ92" s="133"/>
      <c r="HRR92" s="133"/>
      <c r="HRS92" s="133"/>
      <c r="HRT92" s="133"/>
      <c r="HRU92" s="133"/>
      <c r="HRV92" s="133"/>
      <c r="HRW92" s="133"/>
      <c r="HRX92" s="133"/>
      <c r="HRY92" s="133"/>
      <c r="HRZ92" s="133"/>
      <c r="HSA92" s="133"/>
      <c r="HSB92" s="133"/>
      <c r="HSC92" s="133"/>
      <c r="HSD92" s="133"/>
      <c r="HSE92" s="133"/>
      <c r="HSF92" s="133"/>
      <c r="HSG92" s="133"/>
      <c r="HSH92" s="133"/>
      <c r="HSI92" s="133"/>
      <c r="HSJ92" s="133"/>
      <c r="HSK92" s="133"/>
      <c r="HSL92" s="133"/>
      <c r="HSM92" s="133"/>
      <c r="HSN92" s="133"/>
      <c r="HSO92" s="133"/>
      <c r="HSP92" s="133"/>
      <c r="HSQ92" s="133"/>
      <c r="HSR92" s="133"/>
      <c r="HSS92" s="133"/>
      <c r="HST92" s="133"/>
      <c r="HSU92" s="133"/>
      <c r="HSV92" s="133"/>
      <c r="HSW92" s="133"/>
      <c r="HSX92" s="133"/>
      <c r="HSY92" s="133"/>
      <c r="HSZ92" s="133"/>
      <c r="HTA92" s="133"/>
      <c r="HTB92" s="133"/>
      <c r="HTC92" s="133"/>
      <c r="HTD92" s="133"/>
      <c r="HTE92" s="133"/>
      <c r="HTF92" s="133"/>
      <c r="HTG92" s="133"/>
      <c r="HTH92" s="133"/>
      <c r="HTI92" s="133"/>
      <c r="HTJ92" s="133"/>
      <c r="HTK92" s="133"/>
      <c r="HTL92" s="133"/>
      <c r="HTM92" s="133"/>
      <c r="HTN92" s="133"/>
      <c r="HTO92" s="133"/>
      <c r="HTP92" s="133"/>
      <c r="HTQ92" s="133"/>
      <c r="HTR92" s="133"/>
      <c r="HTS92" s="133"/>
      <c r="HTT92" s="133"/>
      <c r="HTU92" s="133"/>
      <c r="HTV92" s="133"/>
      <c r="HTW92" s="133"/>
      <c r="HTX92" s="133"/>
      <c r="HTY92" s="133"/>
      <c r="HTZ92" s="133"/>
      <c r="HUA92" s="133"/>
      <c r="HUB92" s="133"/>
      <c r="HUC92" s="133"/>
      <c r="HUD92" s="133"/>
      <c r="HUE92" s="133"/>
      <c r="HUF92" s="133"/>
      <c r="HUG92" s="133"/>
      <c r="HUH92" s="133"/>
      <c r="HUI92" s="133"/>
      <c r="HUJ92" s="133"/>
      <c r="HUK92" s="133"/>
      <c r="HUL92" s="133"/>
      <c r="HUM92" s="133"/>
      <c r="HUN92" s="133"/>
      <c r="HUO92" s="133"/>
      <c r="HUP92" s="133"/>
      <c r="HUQ92" s="133"/>
      <c r="HUR92" s="133"/>
      <c r="HUS92" s="133"/>
      <c r="HUT92" s="133"/>
      <c r="HUU92" s="133"/>
      <c r="HUV92" s="133"/>
      <c r="HUW92" s="133"/>
      <c r="HUX92" s="133"/>
      <c r="HUY92" s="133"/>
      <c r="HUZ92" s="133"/>
      <c r="HVA92" s="133"/>
      <c r="HVB92" s="133"/>
      <c r="HVC92" s="133"/>
      <c r="HVD92" s="133"/>
      <c r="HVE92" s="133"/>
      <c r="HVF92" s="133"/>
      <c r="HVG92" s="133"/>
      <c r="HVH92" s="133"/>
      <c r="HVI92" s="133"/>
      <c r="HVJ92" s="133"/>
      <c r="HVK92" s="133"/>
      <c r="HVL92" s="133"/>
      <c r="HVM92" s="133"/>
      <c r="HVN92" s="133"/>
      <c r="HVO92" s="133"/>
      <c r="HVP92" s="133"/>
      <c r="HVQ92" s="133"/>
      <c r="HVR92" s="133"/>
      <c r="HVS92" s="133"/>
      <c r="HVT92" s="133"/>
      <c r="HVU92" s="133"/>
      <c r="HVV92" s="133"/>
      <c r="HVW92" s="133"/>
      <c r="HVX92" s="133"/>
      <c r="HVY92" s="133"/>
      <c r="HVZ92" s="133"/>
      <c r="HWA92" s="133"/>
      <c r="HWB92" s="133"/>
      <c r="HWC92" s="133"/>
      <c r="HWD92" s="133"/>
      <c r="HWE92" s="133"/>
      <c r="HWF92" s="133"/>
      <c r="HWG92" s="133"/>
      <c r="HWH92" s="133"/>
      <c r="HWI92" s="133"/>
      <c r="HWJ92" s="133"/>
      <c r="HWK92" s="133"/>
      <c r="HWL92" s="133"/>
      <c r="HWM92" s="133"/>
      <c r="HWN92" s="133"/>
      <c r="HWO92" s="133"/>
      <c r="HWP92" s="133"/>
      <c r="HWQ92" s="133"/>
      <c r="HWR92" s="133"/>
      <c r="HWS92" s="133"/>
      <c r="HWT92" s="133"/>
      <c r="HWU92" s="133"/>
      <c r="HWV92" s="133"/>
      <c r="HWW92" s="133"/>
      <c r="HWX92" s="133"/>
      <c r="HWY92" s="133"/>
      <c r="HWZ92" s="133"/>
      <c r="HXA92" s="133"/>
      <c r="HXB92" s="133"/>
      <c r="HXC92" s="133"/>
      <c r="HXD92" s="133"/>
      <c r="HXE92" s="133"/>
      <c r="HXF92" s="133"/>
      <c r="HXG92" s="133"/>
      <c r="HXH92" s="133"/>
      <c r="HXI92" s="133"/>
      <c r="HXJ92" s="133"/>
      <c r="HXK92" s="133"/>
      <c r="HXL92" s="133"/>
      <c r="HXM92" s="133"/>
      <c r="HXN92" s="133"/>
      <c r="HXO92" s="133"/>
      <c r="HXP92" s="133"/>
      <c r="HXQ92" s="133"/>
      <c r="HXR92" s="133"/>
      <c r="HXS92" s="133"/>
      <c r="HXT92" s="133"/>
      <c r="HXU92" s="133"/>
      <c r="HXV92" s="133"/>
      <c r="HXW92" s="133"/>
      <c r="HXX92" s="133"/>
      <c r="HXY92" s="133"/>
      <c r="HXZ92" s="133"/>
      <c r="HYA92" s="133"/>
      <c r="HYB92" s="133"/>
      <c r="HYC92" s="133"/>
      <c r="HYD92" s="133"/>
      <c r="HYE92" s="133"/>
      <c r="HYF92" s="133"/>
      <c r="HYG92" s="133"/>
      <c r="HYH92" s="133"/>
      <c r="HYI92" s="133"/>
      <c r="HYJ92" s="133"/>
      <c r="HYK92" s="133"/>
      <c r="HYL92" s="133"/>
      <c r="HYM92" s="133"/>
      <c r="HYN92" s="133"/>
      <c r="HYO92" s="133"/>
      <c r="HYP92" s="133"/>
      <c r="HYQ92" s="133"/>
      <c r="HYR92" s="133"/>
      <c r="HYS92" s="133"/>
      <c r="HYT92" s="133"/>
      <c r="HYU92" s="133"/>
      <c r="HYV92" s="133"/>
      <c r="HYW92" s="133"/>
      <c r="HYX92" s="133"/>
      <c r="HYY92" s="133"/>
      <c r="HYZ92" s="133"/>
      <c r="HZA92" s="133"/>
      <c r="HZB92" s="133"/>
      <c r="HZC92" s="133"/>
      <c r="HZD92" s="133"/>
      <c r="HZE92" s="133"/>
      <c r="HZF92" s="133"/>
      <c r="HZG92" s="133"/>
      <c r="HZH92" s="133"/>
      <c r="HZI92" s="133"/>
      <c r="HZJ92" s="133"/>
      <c r="HZK92" s="133"/>
      <c r="HZL92" s="133"/>
      <c r="HZM92" s="133"/>
      <c r="HZN92" s="133"/>
      <c r="HZO92" s="133"/>
      <c r="HZP92" s="133"/>
      <c r="HZQ92" s="133"/>
      <c r="HZR92" s="133"/>
      <c r="HZS92" s="133"/>
      <c r="HZT92" s="133"/>
      <c r="HZU92" s="133"/>
      <c r="HZV92" s="133"/>
      <c r="HZW92" s="133"/>
      <c r="HZX92" s="133"/>
      <c r="HZY92" s="133"/>
      <c r="HZZ92" s="133"/>
      <c r="IAA92" s="133"/>
      <c r="IAB92" s="133"/>
      <c r="IAC92" s="133"/>
      <c r="IAD92" s="133"/>
      <c r="IAE92" s="133"/>
      <c r="IAF92" s="133"/>
      <c r="IAG92" s="133"/>
      <c r="IAH92" s="133"/>
      <c r="IAI92" s="133"/>
      <c r="IAJ92" s="133"/>
      <c r="IAK92" s="133"/>
      <c r="IAL92" s="133"/>
      <c r="IAM92" s="133"/>
      <c r="IAN92" s="133"/>
      <c r="IAO92" s="133"/>
      <c r="IAP92" s="133"/>
      <c r="IAQ92" s="133"/>
      <c r="IAR92" s="133"/>
      <c r="IAS92" s="133"/>
      <c r="IAT92" s="133"/>
      <c r="IAU92" s="133"/>
      <c r="IAV92" s="133"/>
      <c r="IAW92" s="133"/>
      <c r="IAX92" s="133"/>
      <c r="IAY92" s="133"/>
      <c r="IAZ92" s="133"/>
      <c r="IBA92" s="133"/>
      <c r="IBB92" s="133"/>
      <c r="IBC92" s="133"/>
      <c r="IBD92" s="133"/>
      <c r="IBE92" s="133"/>
      <c r="IBF92" s="133"/>
      <c r="IBG92" s="133"/>
      <c r="IBH92" s="133"/>
      <c r="IBI92" s="133"/>
      <c r="IBJ92" s="133"/>
      <c r="IBK92" s="133"/>
      <c r="IBL92" s="133"/>
      <c r="IBM92" s="133"/>
      <c r="IBN92" s="133"/>
      <c r="IBO92" s="133"/>
      <c r="IBP92" s="133"/>
      <c r="IBQ92" s="133"/>
      <c r="IBR92" s="133"/>
      <c r="IBS92" s="133"/>
      <c r="IBT92" s="133"/>
      <c r="IBU92" s="133"/>
      <c r="IBV92" s="133"/>
      <c r="IBW92" s="133"/>
      <c r="IBX92" s="133"/>
      <c r="IBY92" s="133"/>
      <c r="IBZ92" s="133"/>
      <c r="ICA92" s="133"/>
      <c r="ICB92" s="133"/>
      <c r="ICC92" s="133"/>
      <c r="ICD92" s="133"/>
      <c r="ICE92" s="133"/>
      <c r="ICF92" s="133"/>
      <c r="ICG92" s="133"/>
      <c r="ICH92" s="133"/>
      <c r="ICI92" s="133"/>
      <c r="ICJ92" s="133"/>
      <c r="ICK92" s="133"/>
      <c r="ICL92" s="133"/>
      <c r="ICM92" s="133"/>
      <c r="ICN92" s="133"/>
      <c r="ICO92" s="133"/>
      <c r="ICP92" s="133"/>
      <c r="ICQ92" s="133"/>
      <c r="ICR92" s="133"/>
      <c r="ICS92" s="133"/>
      <c r="ICT92" s="133"/>
      <c r="ICU92" s="133"/>
      <c r="ICV92" s="133"/>
      <c r="ICW92" s="133"/>
      <c r="ICX92" s="133"/>
      <c r="ICY92" s="133"/>
      <c r="ICZ92" s="133"/>
      <c r="IDA92" s="133"/>
      <c r="IDB92" s="133"/>
      <c r="IDC92" s="133"/>
      <c r="IDD92" s="133"/>
      <c r="IDE92" s="133"/>
      <c r="IDF92" s="133"/>
      <c r="IDG92" s="133"/>
      <c r="IDH92" s="133"/>
      <c r="IDI92" s="133"/>
      <c r="IDJ92" s="133"/>
      <c r="IDK92" s="133"/>
      <c r="IDL92" s="133"/>
      <c r="IDM92" s="133"/>
      <c r="IDN92" s="133"/>
      <c r="IDO92" s="133"/>
      <c r="IDP92" s="133"/>
      <c r="IDQ92" s="133"/>
      <c r="IDR92" s="133"/>
      <c r="IDS92" s="133"/>
      <c r="IDT92" s="133"/>
      <c r="IDU92" s="133"/>
      <c r="IDV92" s="133"/>
      <c r="IDW92" s="133"/>
      <c r="IDX92" s="133"/>
      <c r="IDY92" s="133"/>
      <c r="IDZ92" s="133"/>
      <c r="IEA92" s="133"/>
      <c r="IEB92" s="133"/>
      <c r="IEC92" s="133"/>
      <c r="IED92" s="133"/>
      <c r="IEE92" s="133"/>
      <c r="IEF92" s="133"/>
      <c r="IEG92" s="133"/>
      <c r="IEH92" s="133"/>
      <c r="IEI92" s="133"/>
      <c r="IEJ92" s="133"/>
      <c r="IEK92" s="133"/>
      <c r="IEL92" s="133"/>
      <c r="IEM92" s="133"/>
      <c r="IEN92" s="133"/>
      <c r="IEO92" s="133"/>
      <c r="IEP92" s="133"/>
      <c r="IEQ92" s="133"/>
      <c r="IER92" s="133"/>
      <c r="IES92" s="133"/>
      <c r="IET92" s="133"/>
      <c r="IEU92" s="133"/>
      <c r="IEV92" s="133"/>
      <c r="IEW92" s="133"/>
      <c r="IEX92" s="133"/>
      <c r="IEY92" s="133"/>
      <c r="IEZ92" s="133"/>
      <c r="IFA92" s="133"/>
      <c r="IFB92" s="133"/>
      <c r="IFC92" s="133"/>
      <c r="IFD92" s="133"/>
      <c r="IFE92" s="133"/>
      <c r="IFF92" s="133"/>
      <c r="IFG92" s="133"/>
      <c r="IFH92" s="133"/>
      <c r="IFI92" s="133"/>
      <c r="IFJ92" s="133"/>
      <c r="IFK92" s="133"/>
      <c r="IFL92" s="133"/>
      <c r="IFM92" s="133"/>
      <c r="IFN92" s="133"/>
      <c r="IFO92" s="133"/>
      <c r="IFP92" s="133"/>
      <c r="IFQ92" s="133"/>
      <c r="IFR92" s="133"/>
      <c r="IFS92" s="133"/>
      <c r="IFT92" s="133"/>
      <c r="IFU92" s="133"/>
      <c r="IFV92" s="133"/>
      <c r="IFW92" s="133"/>
      <c r="IFX92" s="133"/>
      <c r="IFY92" s="133"/>
      <c r="IFZ92" s="133"/>
      <c r="IGA92" s="133"/>
      <c r="IGB92" s="133"/>
      <c r="IGC92" s="133"/>
      <c r="IGD92" s="133"/>
      <c r="IGE92" s="133"/>
      <c r="IGF92" s="133"/>
      <c r="IGG92" s="133"/>
      <c r="IGH92" s="133"/>
      <c r="IGI92" s="133"/>
      <c r="IGJ92" s="133"/>
      <c r="IGK92" s="133"/>
      <c r="IGL92" s="133"/>
      <c r="IGM92" s="133"/>
      <c r="IGN92" s="133"/>
      <c r="IGO92" s="133"/>
      <c r="IGP92" s="133"/>
      <c r="IGQ92" s="133"/>
      <c r="IGR92" s="133"/>
      <c r="IGS92" s="133"/>
      <c r="IGT92" s="133"/>
      <c r="IGU92" s="133"/>
      <c r="IGV92" s="133"/>
      <c r="IGW92" s="133"/>
      <c r="IGX92" s="133"/>
      <c r="IGY92" s="133"/>
      <c r="IGZ92" s="133"/>
      <c r="IHA92" s="133"/>
      <c r="IHB92" s="133"/>
      <c r="IHC92" s="133"/>
      <c r="IHD92" s="133"/>
      <c r="IHE92" s="133"/>
      <c r="IHF92" s="133"/>
      <c r="IHG92" s="133"/>
      <c r="IHH92" s="133"/>
      <c r="IHI92" s="133"/>
      <c r="IHJ92" s="133"/>
      <c r="IHK92" s="133"/>
      <c r="IHL92" s="133"/>
      <c r="IHM92" s="133"/>
      <c r="IHN92" s="133"/>
      <c r="IHO92" s="133"/>
      <c r="IHP92" s="133"/>
      <c r="IHQ92" s="133"/>
      <c r="IHR92" s="133"/>
      <c r="IHS92" s="133"/>
      <c r="IHT92" s="133"/>
      <c r="IHU92" s="133"/>
      <c r="IHV92" s="133"/>
      <c r="IHW92" s="133"/>
      <c r="IHX92" s="133"/>
      <c r="IHY92" s="133"/>
      <c r="IHZ92" s="133"/>
      <c r="IIA92" s="133"/>
      <c r="IIB92" s="133"/>
      <c r="IIC92" s="133"/>
      <c r="IID92" s="133"/>
      <c r="IIE92" s="133"/>
      <c r="IIF92" s="133"/>
      <c r="IIG92" s="133"/>
      <c r="IIH92" s="133"/>
      <c r="III92" s="133"/>
      <c r="IIJ92" s="133"/>
      <c r="IIK92" s="133"/>
      <c r="IIL92" s="133"/>
      <c r="IIM92" s="133"/>
      <c r="IIN92" s="133"/>
      <c r="IIO92" s="133"/>
      <c r="IIP92" s="133"/>
      <c r="IIQ92" s="133"/>
      <c r="IIR92" s="133"/>
      <c r="IIS92" s="133"/>
      <c r="IIT92" s="133"/>
      <c r="IIU92" s="133"/>
      <c r="IIV92" s="133"/>
      <c r="IIW92" s="133"/>
      <c r="IIX92" s="133"/>
      <c r="IIY92" s="133"/>
      <c r="IIZ92" s="133"/>
      <c r="IJA92" s="133"/>
      <c r="IJB92" s="133"/>
      <c r="IJC92" s="133"/>
      <c r="IJD92" s="133"/>
      <c r="IJE92" s="133"/>
      <c r="IJF92" s="133"/>
      <c r="IJG92" s="133"/>
      <c r="IJH92" s="133"/>
      <c r="IJI92" s="133"/>
      <c r="IJJ92" s="133"/>
      <c r="IJK92" s="133"/>
      <c r="IJL92" s="133"/>
      <c r="IJM92" s="133"/>
      <c r="IJN92" s="133"/>
      <c r="IJO92" s="133"/>
      <c r="IJP92" s="133"/>
      <c r="IJQ92" s="133"/>
      <c r="IJR92" s="133"/>
      <c r="IJS92" s="133"/>
      <c r="IJT92" s="133"/>
      <c r="IJU92" s="133"/>
      <c r="IJV92" s="133"/>
      <c r="IJW92" s="133"/>
      <c r="IJX92" s="133"/>
      <c r="IJY92" s="133"/>
      <c r="IJZ92" s="133"/>
      <c r="IKA92" s="133"/>
      <c r="IKB92" s="133"/>
      <c r="IKC92" s="133"/>
      <c r="IKD92" s="133"/>
      <c r="IKE92" s="133"/>
      <c r="IKF92" s="133"/>
      <c r="IKG92" s="133"/>
      <c r="IKH92" s="133"/>
      <c r="IKI92" s="133"/>
      <c r="IKJ92" s="133"/>
      <c r="IKK92" s="133"/>
      <c r="IKL92" s="133"/>
      <c r="IKM92" s="133"/>
      <c r="IKN92" s="133"/>
      <c r="IKO92" s="133"/>
      <c r="IKP92" s="133"/>
      <c r="IKQ92" s="133"/>
      <c r="IKR92" s="133"/>
      <c r="IKS92" s="133"/>
      <c r="IKT92" s="133"/>
      <c r="IKU92" s="133"/>
      <c r="IKV92" s="133"/>
      <c r="IKW92" s="133"/>
      <c r="IKX92" s="133"/>
      <c r="IKY92" s="133"/>
      <c r="IKZ92" s="133"/>
      <c r="ILA92" s="133"/>
      <c r="ILB92" s="133"/>
      <c r="ILC92" s="133"/>
      <c r="ILD92" s="133"/>
      <c r="ILE92" s="133"/>
      <c r="ILF92" s="133"/>
      <c r="ILG92" s="133"/>
      <c r="ILH92" s="133"/>
      <c r="ILI92" s="133"/>
      <c r="ILJ92" s="133"/>
      <c r="ILK92" s="133"/>
      <c r="ILL92" s="133"/>
      <c r="ILM92" s="133"/>
      <c r="ILN92" s="133"/>
      <c r="ILO92" s="133"/>
      <c r="ILP92" s="133"/>
      <c r="ILQ92" s="133"/>
      <c r="ILR92" s="133"/>
      <c r="ILS92" s="133"/>
      <c r="ILT92" s="133"/>
      <c r="ILU92" s="133"/>
      <c r="ILV92" s="133"/>
      <c r="ILW92" s="133"/>
      <c r="ILX92" s="133"/>
      <c r="ILY92" s="133"/>
      <c r="ILZ92" s="133"/>
      <c r="IMA92" s="133"/>
      <c r="IMB92" s="133"/>
      <c r="IMC92" s="133"/>
      <c r="IMD92" s="133"/>
      <c r="IME92" s="133"/>
      <c r="IMF92" s="133"/>
      <c r="IMG92" s="133"/>
      <c r="IMH92" s="133"/>
      <c r="IMI92" s="133"/>
      <c r="IMJ92" s="133"/>
      <c r="IMK92" s="133"/>
      <c r="IML92" s="133"/>
      <c r="IMM92" s="133"/>
      <c r="IMN92" s="133"/>
      <c r="IMO92" s="133"/>
      <c r="IMP92" s="133"/>
      <c r="IMQ92" s="133"/>
      <c r="IMR92" s="133"/>
      <c r="IMS92" s="133"/>
      <c r="IMT92" s="133"/>
      <c r="IMU92" s="133"/>
      <c r="IMV92" s="133"/>
      <c r="IMW92" s="133"/>
      <c r="IMX92" s="133"/>
      <c r="IMY92" s="133"/>
      <c r="IMZ92" s="133"/>
      <c r="INA92" s="133"/>
      <c r="INB92" s="133"/>
      <c r="INC92" s="133"/>
      <c r="IND92" s="133"/>
      <c r="INE92" s="133"/>
      <c r="INF92" s="133"/>
      <c r="ING92" s="133"/>
      <c r="INH92" s="133"/>
      <c r="INI92" s="133"/>
      <c r="INJ92" s="133"/>
      <c r="INK92" s="133"/>
      <c r="INL92" s="133"/>
      <c r="INM92" s="133"/>
      <c r="INN92" s="133"/>
      <c r="INO92" s="133"/>
      <c r="INP92" s="133"/>
      <c r="INQ92" s="133"/>
      <c r="INR92" s="133"/>
      <c r="INS92" s="133"/>
      <c r="INT92" s="133"/>
      <c r="INU92" s="133"/>
      <c r="INV92" s="133"/>
      <c r="INW92" s="133"/>
      <c r="INX92" s="133"/>
      <c r="INY92" s="133"/>
      <c r="INZ92" s="133"/>
      <c r="IOA92" s="133"/>
      <c r="IOB92" s="133"/>
      <c r="IOC92" s="133"/>
      <c r="IOD92" s="133"/>
      <c r="IOE92" s="133"/>
      <c r="IOF92" s="133"/>
      <c r="IOG92" s="133"/>
      <c r="IOH92" s="133"/>
      <c r="IOI92" s="133"/>
      <c r="IOJ92" s="133"/>
      <c r="IOK92" s="133"/>
      <c r="IOL92" s="133"/>
      <c r="IOM92" s="133"/>
      <c r="ION92" s="133"/>
      <c r="IOO92" s="133"/>
      <c r="IOP92" s="133"/>
      <c r="IOQ92" s="133"/>
      <c r="IOR92" s="133"/>
      <c r="IOS92" s="133"/>
      <c r="IOT92" s="133"/>
      <c r="IOU92" s="133"/>
      <c r="IOV92" s="133"/>
      <c r="IOW92" s="133"/>
      <c r="IOX92" s="133"/>
      <c r="IOY92" s="133"/>
      <c r="IOZ92" s="133"/>
      <c r="IPA92" s="133"/>
      <c r="IPB92" s="133"/>
      <c r="IPC92" s="133"/>
      <c r="IPD92" s="133"/>
      <c r="IPE92" s="133"/>
      <c r="IPF92" s="133"/>
      <c r="IPG92" s="133"/>
      <c r="IPH92" s="133"/>
      <c r="IPI92" s="133"/>
      <c r="IPJ92" s="133"/>
      <c r="IPK92" s="133"/>
      <c r="IPL92" s="133"/>
      <c r="IPM92" s="133"/>
      <c r="IPN92" s="133"/>
      <c r="IPO92" s="133"/>
      <c r="IPP92" s="133"/>
      <c r="IPQ92" s="133"/>
      <c r="IPR92" s="133"/>
      <c r="IPS92" s="133"/>
      <c r="IPT92" s="133"/>
      <c r="IPU92" s="133"/>
      <c r="IPV92" s="133"/>
      <c r="IPW92" s="133"/>
      <c r="IPX92" s="133"/>
      <c r="IPY92" s="133"/>
      <c r="IPZ92" s="133"/>
      <c r="IQA92" s="133"/>
      <c r="IQB92" s="133"/>
      <c r="IQC92" s="133"/>
      <c r="IQD92" s="133"/>
      <c r="IQE92" s="133"/>
      <c r="IQF92" s="133"/>
      <c r="IQG92" s="133"/>
      <c r="IQH92" s="133"/>
      <c r="IQI92" s="133"/>
      <c r="IQJ92" s="133"/>
      <c r="IQK92" s="133"/>
      <c r="IQL92" s="133"/>
      <c r="IQM92" s="133"/>
      <c r="IQN92" s="133"/>
      <c r="IQO92" s="133"/>
      <c r="IQP92" s="133"/>
      <c r="IQQ92" s="133"/>
      <c r="IQR92" s="133"/>
      <c r="IQS92" s="133"/>
      <c r="IQT92" s="133"/>
      <c r="IQU92" s="133"/>
      <c r="IQV92" s="133"/>
      <c r="IQW92" s="133"/>
      <c r="IQX92" s="133"/>
      <c r="IQY92" s="133"/>
      <c r="IQZ92" s="133"/>
      <c r="IRA92" s="133"/>
      <c r="IRB92" s="133"/>
      <c r="IRC92" s="133"/>
      <c r="IRD92" s="133"/>
      <c r="IRE92" s="133"/>
      <c r="IRF92" s="133"/>
      <c r="IRG92" s="133"/>
      <c r="IRH92" s="133"/>
      <c r="IRI92" s="133"/>
      <c r="IRJ92" s="133"/>
      <c r="IRK92" s="133"/>
      <c r="IRL92" s="133"/>
      <c r="IRM92" s="133"/>
      <c r="IRN92" s="133"/>
      <c r="IRO92" s="133"/>
      <c r="IRP92" s="133"/>
      <c r="IRQ92" s="133"/>
      <c r="IRR92" s="133"/>
      <c r="IRS92" s="133"/>
      <c r="IRT92" s="133"/>
      <c r="IRU92" s="133"/>
      <c r="IRV92" s="133"/>
      <c r="IRW92" s="133"/>
      <c r="IRX92" s="133"/>
      <c r="IRY92" s="133"/>
      <c r="IRZ92" s="133"/>
      <c r="ISA92" s="133"/>
      <c r="ISB92" s="133"/>
      <c r="ISC92" s="133"/>
      <c r="ISD92" s="133"/>
      <c r="ISE92" s="133"/>
      <c r="ISF92" s="133"/>
      <c r="ISG92" s="133"/>
      <c r="ISH92" s="133"/>
      <c r="ISI92" s="133"/>
      <c r="ISJ92" s="133"/>
      <c r="ISK92" s="133"/>
      <c r="ISL92" s="133"/>
      <c r="ISM92" s="133"/>
      <c r="ISN92" s="133"/>
      <c r="ISO92" s="133"/>
      <c r="ISP92" s="133"/>
      <c r="ISQ92" s="133"/>
      <c r="ISR92" s="133"/>
      <c r="ISS92" s="133"/>
      <c r="IST92" s="133"/>
      <c r="ISU92" s="133"/>
      <c r="ISV92" s="133"/>
      <c r="ISW92" s="133"/>
      <c r="ISX92" s="133"/>
      <c r="ISY92" s="133"/>
      <c r="ISZ92" s="133"/>
      <c r="ITA92" s="133"/>
      <c r="ITB92" s="133"/>
      <c r="ITC92" s="133"/>
      <c r="ITD92" s="133"/>
      <c r="ITE92" s="133"/>
      <c r="ITF92" s="133"/>
      <c r="ITG92" s="133"/>
      <c r="ITH92" s="133"/>
      <c r="ITI92" s="133"/>
      <c r="ITJ92" s="133"/>
      <c r="ITK92" s="133"/>
      <c r="ITL92" s="133"/>
      <c r="ITM92" s="133"/>
      <c r="ITN92" s="133"/>
      <c r="ITO92" s="133"/>
      <c r="ITP92" s="133"/>
      <c r="ITQ92" s="133"/>
      <c r="ITR92" s="133"/>
      <c r="ITS92" s="133"/>
      <c r="ITT92" s="133"/>
      <c r="ITU92" s="133"/>
      <c r="ITV92" s="133"/>
      <c r="ITW92" s="133"/>
      <c r="ITX92" s="133"/>
      <c r="ITY92" s="133"/>
      <c r="ITZ92" s="133"/>
      <c r="IUA92" s="133"/>
      <c r="IUB92" s="133"/>
      <c r="IUC92" s="133"/>
      <c r="IUD92" s="133"/>
      <c r="IUE92" s="133"/>
      <c r="IUF92" s="133"/>
      <c r="IUG92" s="133"/>
      <c r="IUH92" s="133"/>
      <c r="IUI92" s="133"/>
      <c r="IUJ92" s="133"/>
      <c r="IUK92" s="133"/>
      <c r="IUL92" s="133"/>
      <c r="IUM92" s="133"/>
      <c r="IUN92" s="133"/>
      <c r="IUO92" s="133"/>
      <c r="IUP92" s="133"/>
      <c r="IUQ92" s="133"/>
      <c r="IUR92" s="133"/>
      <c r="IUS92" s="133"/>
      <c r="IUT92" s="133"/>
      <c r="IUU92" s="133"/>
      <c r="IUV92" s="133"/>
      <c r="IUW92" s="133"/>
      <c r="IUX92" s="133"/>
      <c r="IUY92" s="133"/>
      <c r="IUZ92" s="133"/>
      <c r="IVA92" s="133"/>
      <c r="IVB92" s="133"/>
      <c r="IVC92" s="133"/>
      <c r="IVD92" s="133"/>
      <c r="IVE92" s="133"/>
      <c r="IVF92" s="133"/>
      <c r="IVG92" s="133"/>
      <c r="IVH92" s="133"/>
      <c r="IVI92" s="133"/>
      <c r="IVJ92" s="133"/>
      <c r="IVK92" s="133"/>
      <c r="IVL92" s="133"/>
      <c r="IVM92" s="133"/>
      <c r="IVN92" s="133"/>
      <c r="IVO92" s="133"/>
      <c r="IVP92" s="133"/>
      <c r="IVQ92" s="133"/>
      <c r="IVR92" s="133"/>
      <c r="IVS92" s="133"/>
      <c r="IVT92" s="133"/>
      <c r="IVU92" s="133"/>
      <c r="IVV92" s="133"/>
      <c r="IVW92" s="133"/>
      <c r="IVX92" s="133"/>
      <c r="IVY92" s="133"/>
      <c r="IVZ92" s="133"/>
      <c r="IWA92" s="133"/>
      <c r="IWB92" s="133"/>
      <c r="IWC92" s="133"/>
      <c r="IWD92" s="133"/>
      <c r="IWE92" s="133"/>
      <c r="IWF92" s="133"/>
      <c r="IWG92" s="133"/>
      <c r="IWH92" s="133"/>
      <c r="IWI92" s="133"/>
      <c r="IWJ92" s="133"/>
      <c r="IWK92" s="133"/>
      <c r="IWL92" s="133"/>
      <c r="IWM92" s="133"/>
      <c r="IWN92" s="133"/>
      <c r="IWO92" s="133"/>
      <c r="IWP92" s="133"/>
      <c r="IWQ92" s="133"/>
      <c r="IWR92" s="133"/>
      <c r="IWS92" s="133"/>
      <c r="IWT92" s="133"/>
      <c r="IWU92" s="133"/>
      <c r="IWV92" s="133"/>
      <c r="IWW92" s="133"/>
      <c r="IWX92" s="133"/>
      <c r="IWY92" s="133"/>
      <c r="IWZ92" s="133"/>
      <c r="IXA92" s="133"/>
      <c r="IXB92" s="133"/>
      <c r="IXC92" s="133"/>
      <c r="IXD92" s="133"/>
      <c r="IXE92" s="133"/>
      <c r="IXF92" s="133"/>
      <c r="IXG92" s="133"/>
      <c r="IXH92" s="133"/>
      <c r="IXI92" s="133"/>
      <c r="IXJ92" s="133"/>
      <c r="IXK92" s="133"/>
      <c r="IXL92" s="133"/>
      <c r="IXM92" s="133"/>
      <c r="IXN92" s="133"/>
      <c r="IXO92" s="133"/>
      <c r="IXP92" s="133"/>
      <c r="IXQ92" s="133"/>
      <c r="IXR92" s="133"/>
      <c r="IXS92" s="133"/>
      <c r="IXT92" s="133"/>
      <c r="IXU92" s="133"/>
      <c r="IXV92" s="133"/>
      <c r="IXW92" s="133"/>
      <c r="IXX92" s="133"/>
      <c r="IXY92" s="133"/>
      <c r="IXZ92" s="133"/>
      <c r="IYA92" s="133"/>
      <c r="IYB92" s="133"/>
      <c r="IYC92" s="133"/>
      <c r="IYD92" s="133"/>
      <c r="IYE92" s="133"/>
      <c r="IYF92" s="133"/>
      <c r="IYG92" s="133"/>
      <c r="IYH92" s="133"/>
      <c r="IYI92" s="133"/>
      <c r="IYJ92" s="133"/>
      <c r="IYK92" s="133"/>
      <c r="IYL92" s="133"/>
      <c r="IYM92" s="133"/>
      <c r="IYN92" s="133"/>
      <c r="IYO92" s="133"/>
      <c r="IYP92" s="133"/>
      <c r="IYQ92" s="133"/>
      <c r="IYR92" s="133"/>
      <c r="IYS92" s="133"/>
      <c r="IYT92" s="133"/>
      <c r="IYU92" s="133"/>
      <c r="IYV92" s="133"/>
      <c r="IYW92" s="133"/>
      <c r="IYX92" s="133"/>
      <c r="IYY92" s="133"/>
      <c r="IYZ92" s="133"/>
      <c r="IZA92" s="133"/>
      <c r="IZB92" s="133"/>
      <c r="IZC92" s="133"/>
      <c r="IZD92" s="133"/>
      <c r="IZE92" s="133"/>
      <c r="IZF92" s="133"/>
      <c r="IZG92" s="133"/>
      <c r="IZH92" s="133"/>
      <c r="IZI92" s="133"/>
      <c r="IZJ92" s="133"/>
      <c r="IZK92" s="133"/>
      <c r="IZL92" s="133"/>
      <c r="IZM92" s="133"/>
      <c r="IZN92" s="133"/>
      <c r="IZO92" s="133"/>
      <c r="IZP92" s="133"/>
      <c r="IZQ92" s="133"/>
      <c r="IZR92" s="133"/>
      <c r="IZS92" s="133"/>
      <c r="IZT92" s="133"/>
      <c r="IZU92" s="133"/>
      <c r="IZV92" s="133"/>
      <c r="IZW92" s="133"/>
      <c r="IZX92" s="133"/>
      <c r="IZY92" s="133"/>
      <c r="IZZ92" s="133"/>
      <c r="JAA92" s="133"/>
      <c r="JAB92" s="133"/>
      <c r="JAC92" s="133"/>
      <c r="JAD92" s="133"/>
      <c r="JAE92" s="133"/>
      <c r="JAF92" s="133"/>
      <c r="JAG92" s="133"/>
      <c r="JAH92" s="133"/>
      <c r="JAI92" s="133"/>
      <c r="JAJ92" s="133"/>
      <c r="JAK92" s="133"/>
      <c r="JAL92" s="133"/>
      <c r="JAM92" s="133"/>
      <c r="JAN92" s="133"/>
      <c r="JAO92" s="133"/>
      <c r="JAP92" s="133"/>
      <c r="JAQ92" s="133"/>
      <c r="JAR92" s="133"/>
      <c r="JAS92" s="133"/>
      <c r="JAT92" s="133"/>
      <c r="JAU92" s="133"/>
      <c r="JAV92" s="133"/>
      <c r="JAW92" s="133"/>
      <c r="JAX92" s="133"/>
      <c r="JAY92" s="133"/>
      <c r="JAZ92" s="133"/>
      <c r="JBA92" s="133"/>
      <c r="JBB92" s="133"/>
      <c r="JBC92" s="133"/>
      <c r="JBD92" s="133"/>
      <c r="JBE92" s="133"/>
      <c r="JBF92" s="133"/>
      <c r="JBG92" s="133"/>
      <c r="JBH92" s="133"/>
      <c r="JBI92" s="133"/>
      <c r="JBJ92" s="133"/>
      <c r="JBK92" s="133"/>
      <c r="JBL92" s="133"/>
      <c r="JBM92" s="133"/>
      <c r="JBN92" s="133"/>
      <c r="JBO92" s="133"/>
      <c r="JBP92" s="133"/>
      <c r="JBQ92" s="133"/>
      <c r="JBR92" s="133"/>
      <c r="JBS92" s="133"/>
      <c r="JBT92" s="133"/>
      <c r="JBU92" s="133"/>
      <c r="JBV92" s="133"/>
      <c r="JBW92" s="133"/>
      <c r="JBX92" s="133"/>
      <c r="JBY92" s="133"/>
      <c r="JBZ92" s="133"/>
      <c r="JCA92" s="133"/>
      <c r="JCB92" s="133"/>
      <c r="JCC92" s="133"/>
      <c r="JCD92" s="133"/>
      <c r="JCE92" s="133"/>
      <c r="JCF92" s="133"/>
      <c r="JCG92" s="133"/>
      <c r="JCH92" s="133"/>
      <c r="JCI92" s="133"/>
      <c r="JCJ92" s="133"/>
      <c r="JCK92" s="133"/>
      <c r="JCL92" s="133"/>
      <c r="JCM92" s="133"/>
      <c r="JCN92" s="133"/>
      <c r="JCO92" s="133"/>
      <c r="JCP92" s="133"/>
      <c r="JCQ92" s="133"/>
      <c r="JCR92" s="133"/>
      <c r="JCS92" s="133"/>
      <c r="JCT92" s="133"/>
      <c r="JCU92" s="133"/>
      <c r="JCV92" s="133"/>
      <c r="JCW92" s="133"/>
      <c r="JCX92" s="133"/>
      <c r="JCY92" s="133"/>
      <c r="JCZ92" s="133"/>
      <c r="JDA92" s="133"/>
      <c r="JDB92" s="133"/>
      <c r="JDC92" s="133"/>
      <c r="JDD92" s="133"/>
      <c r="JDE92" s="133"/>
      <c r="JDF92" s="133"/>
      <c r="JDG92" s="133"/>
      <c r="JDH92" s="133"/>
      <c r="JDI92" s="133"/>
      <c r="JDJ92" s="133"/>
      <c r="JDK92" s="133"/>
      <c r="JDL92" s="133"/>
      <c r="JDM92" s="133"/>
      <c r="JDN92" s="133"/>
      <c r="JDO92" s="133"/>
      <c r="JDP92" s="133"/>
      <c r="JDQ92" s="133"/>
      <c r="JDR92" s="133"/>
      <c r="JDS92" s="133"/>
      <c r="JDT92" s="133"/>
      <c r="JDU92" s="133"/>
      <c r="JDV92" s="133"/>
      <c r="JDW92" s="133"/>
      <c r="JDX92" s="133"/>
      <c r="JDY92" s="133"/>
      <c r="JDZ92" s="133"/>
      <c r="JEA92" s="133"/>
      <c r="JEB92" s="133"/>
      <c r="JEC92" s="133"/>
      <c r="JED92" s="133"/>
      <c r="JEE92" s="133"/>
      <c r="JEF92" s="133"/>
      <c r="JEG92" s="133"/>
      <c r="JEH92" s="133"/>
      <c r="JEI92" s="133"/>
      <c r="JEJ92" s="133"/>
      <c r="JEK92" s="133"/>
      <c r="JEL92" s="133"/>
      <c r="JEM92" s="133"/>
      <c r="JEN92" s="133"/>
      <c r="JEO92" s="133"/>
      <c r="JEP92" s="133"/>
      <c r="JEQ92" s="133"/>
      <c r="JER92" s="133"/>
      <c r="JES92" s="133"/>
      <c r="JET92" s="133"/>
      <c r="JEU92" s="133"/>
      <c r="JEV92" s="133"/>
      <c r="JEW92" s="133"/>
      <c r="JEX92" s="133"/>
      <c r="JEY92" s="133"/>
      <c r="JEZ92" s="133"/>
      <c r="JFA92" s="133"/>
      <c r="JFB92" s="133"/>
      <c r="JFC92" s="133"/>
      <c r="JFD92" s="133"/>
      <c r="JFE92" s="133"/>
      <c r="JFF92" s="133"/>
      <c r="JFG92" s="133"/>
      <c r="JFH92" s="133"/>
      <c r="JFI92" s="133"/>
      <c r="JFJ92" s="133"/>
      <c r="JFK92" s="133"/>
      <c r="JFL92" s="133"/>
      <c r="JFM92" s="133"/>
      <c r="JFN92" s="133"/>
      <c r="JFO92" s="133"/>
      <c r="JFP92" s="133"/>
      <c r="JFQ92" s="133"/>
      <c r="JFR92" s="133"/>
      <c r="JFS92" s="133"/>
      <c r="JFT92" s="133"/>
      <c r="JFU92" s="133"/>
      <c r="JFV92" s="133"/>
      <c r="JFW92" s="133"/>
      <c r="JFX92" s="133"/>
      <c r="JFY92" s="133"/>
      <c r="JFZ92" s="133"/>
      <c r="JGA92" s="133"/>
      <c r="JGB92" s="133"/>
      <c r="JGC92" s="133"/>
      <c r="JGD92" s="133"/>
      <c r="JGE92" s="133"/>
      <c r="JGF92" s="133"/>
      <c r="JGG92" s="133"/>
      <c r="JGH92" s="133"/>
      <c r="JGI92" s="133"/>
      <c r="JGJ92" s="133"/>
      <c r="JGK92" s="133"/>
      <c r="JGL92" s="133"/>
      <c r="JGM92" s="133"/>
      <c r="JGN92" s="133"/>
      <c r="JGO92" s="133"/>
      <c r="JGP92" s="133"/>
      <c r="JGQ92" s="133"/>
      <c r="JGR92" s="133"/>
      <c r="JGS92" s="133"/>
      <c r="JGT92" s="133"/>
      <c r="JGU92" s="133"/>
      <c r="JGV92" s="133"/>
      <c r="JGW92" s="133"/>
      <c r="JGX92" s="133"/>
      <c r="JGY92" s="133"/>
      <c r="JGZ92" s="133"/>
      <c r="JHA92" s="133"/>
      <c r="JHB92" s="133"/>
      <c r="JHC92" s="133"/>
      <c r="JHD92" s="133"/>
      <c r="JHE92" s="133"/>
      <c r="JHF92" s="133"/>
      <c r="JHG92" s="133"/>
      <c r="JHH92" s="133"/>
      <c r="JHI92" s="133"/>
      <c r="JHJ92" s="133"/>
      <c r="JHK92" s="133"/>
      <c r="JHL92" s="133"/>
      <c r="JHM92" s="133"/>
      <c r="JHN92" s="133"/>
      <c r="JHO92" s="133"/>
      <c r="JHP92" s="133"/>
      <c r="JHQ92" s="133"/>
      <c r="JHR92" s="133"/>
      <c r="JHS92" s="133"/>
      <c r="JHT92" s="133"/>
      <c r="JHU92" s="133"/>
      <c r="JHV92" s="133"/>
      <c r="JHW92" s="133"/>
      <c r="JHX92" s="133"/>
      <c r="JHY92" s="133"/>
      <c r="JHZ92" s="133"/>
      <c r="JIA92" s="133"/>
      <c r="JIB92" s="133"/>
      <c r="JIC92" s="133"/>
      <c r="JID92" s="133"/>
      <c r="JIE92" s="133"/>
      <c r="JIF92" s="133"/>
      <c r="JIG92" s="133"/>
      <c r="JIH92" s="133"/>
      <c r="JII92" s="133"/>
      <c r="JIJ92" s="133"/>
      <c r="JIK92" s="133"/>
      <c r="JIL92" s="133"/>
      <c r="JIM92" s="133"/>
      <c r="JIN92" s="133"/>
      <c r="JIO92" s="133"/>
      <c r="JIP92" s="133"/>
      <c r="JIQ92" s="133"/>
      <c r="JIR92" s="133"/>
      <c r="JIS92" s="133"/>
      <c r="JIT92" s="133"/>
      <c r="JIU92" s="133"/>
      <c r="JIV92" s="133"/>
      <c r="JIW92" s="133"/>
      <c r="JIX92" s="133"/>
      <c r="JIY92" s="133"/>
      <c r="JIZ92" s="133"/>
      <c r="JJA92" s="133"/>
      <c r="JJB92" s="133"/>
      <c r="JJC92" s="133"/>
      <c r="JJD92" s="133"/>
      <c r="JJE92" s="133"/>
      <c r="JJF92" s="133"/>
      <c r="JJG92" s="133"/>
      <c r="JJH92" s="133"/>
      <c r="JJI92" s="133"/>
      <c r="JJJ92" s="133"/>
      <c r="JJK92" s="133"/>
      <c r="JJL92" s="133"/>
      <c r="JJM92" s="133"/>
      <c r="JJN92" s="133"/>
      <c r="JJO92" s="133"/>
      <c r="JJP92" s="133"/>
      <c r="JJQ92" s="133"/>
      <c r="JJR92" s="133"/>
      <c r="JJS92" s="133"/>
      <c r="JJT92" s="133"/>
      <c r="JJU92" s="133"/>
      <c r="JJV92" s="133"/>
      <c r="JJW92" s="133"/>
      <c r="JJX92" s="133"/>
      <c r="JJY92" s="133"/>
      <c r="JJZ92" s="133"/>
      <c r="JKA92" s="133"/>
      <c r="JKB92" s="133"/>
      <c r="JKC92" s="133"/>
      <c r="JKD92" s="133"/>
      <c r="JKE92" s="133"/>
      <c r="JKF92" s="133"/>
      <c r="JKG92" s="133"/>
      <c r="JKH92" s="133"/>
      <c r="JKI92" s="133"/>
      <c r="JKJ92" s="133"/>
      <c r="JKK92" s="133"/>
      <c r="JKL92" s="133"/>
      <c r="JKM92" s="133"/>
      <c r="JKN92" s="133"/>
      <c r="JKO92" s="133"/>
      <c r="JKP92" s="133"/>
      <c r="JKQ92" s="133"/>
      <c r="JKR92" s="133"/>
      <c r="JKS92" s="133"/>
      <c r="JKT92" s="133"/>
      <c r="JKU92" s="133"/>
      <c r="JKV92" s="133"/>
      <c r="JKW92" s="133"/>
      <c r="JKX92" s="133"/>
      <c r="JKY92" s="133"/>
      <c r="JKZ92" s="133"/>
      <c r="JLA92" s="133"/>
      <c r="JLB92" s="133"/>
      <c r="JLC92" s="133"/>
      <c r="JLD92" s="133"/>
      <c r="JLE92" s="133"/>
      <c r="JLF92" s="133"/>
      <c r="JLG92" s="133"/>
      <c r="JLH92" s="133"/>
      <c r="JLI92" s="133"/>
      <c r="JLJ92" s="133"/>
      <c r="JLK92" s="133"/>
      <c r="JLL92" s="133"/>
      <c r="JLM92" s="133"/>
      <c r="JLN92" s="133"/>
      <c r="JLO92" s="133"/>
      <c r="JLP92" s="133"/>
      <c r="JLQ92" s="133"/>
      <c r="JLR92" s="133"/>
      <c r="JLS92" s="133"/>
      <c r="JLT92" s="133"/>
      <c r="JLU92" s="133"/>
      <c r="JLV92" s="133"/>
      <c r="JLW92" s="133"/>
      <c r="JLX92" s="133"/>
      <c r="JLY92" s="133"/>
      <c r="JLZ92" s="133"/>
      <c r="JMA92" s="133"/>
      <c r="JMB92" s="133"/>
      <c r="JMC92" s="133"/>
      <c r="JMD92" s="133"/>
      <c r="JME92" s="133"/>
      <c r="JMF92" s="133"/>
      <c r="JMG92" s="133"/>
      <c r="JMH92" s="133"/>
      <c r="JMI92" s="133"/>
      <c r="JMJ92" s="133"/>
      <c r="JMK92" s="133"/>
      <c r="JML92" s="133"/>
      <c r="JMM92" s="133"/>
      <c r="JMN92" s="133"/>
      <c r="JMO92" s="133"/>
      <c r="JMP92" s="133"/>
      <c r="JMQ92" s="133"/>
      <c r="JMR92" s="133"/>
      <c r="JMS92" s="133"/>
      <c r="JMT92" s="133"/>
      <c r="JMU92" s="133"/>
      <c r="JMV92" s="133"/>
      <c r="JMW92" s="133"/>
      <c r="JMX92" s="133"/>
      <c r="JMY92" s="133"/>
      <c r="JMZ92" s="133"/>
      <c r="JNA92" s="133"/>
      <c r="JNB92" s="133"/>
      <c r="JNC92" s="133"/>
      <c r="JND92" s="133"/>
      <c r="JNE92" s="133"/>
      <c r="JNF92" s="133"/>
      <c r="JNG92" s="133"/>
      <c r="JNH92" s="133"/>
      <c r="JNI92" s="133"/>
      <c r="JNJ92" s="133"/>
      <c r="JNK92" s="133"/>
      <c r="JNL92" s="133"/>
      <c r="JNM92" s="133"/>
      <c r="JNN92" s="133"/>
      <c r="JNO92" s="133"/>
      <c r="JNP92" s="133"/>
      <c r="JNQ92" s="133"/>
      <c r="JNR92" s="133"/>
      <c r="JNS92" s="133"/>
      <c r="JNT92" s="133"/>
      <c r="JNU92" s="133"/>
      <c r="JNV92" s="133"/>
      <c r="JNW92" s="133"/>
      <c r="JNX92" s="133"/>
      <c r="JNY92" s="133"/>
      <c r="JNZ92" s="133"/>
      <c r="JOA92" s="133"/>
      <c r="JOB92" s="133"/>
      <c r="JOC92" s="133"/>
      <c r="JOD92" s="133"/>
      <c r="JOE92" s="133"/>
      <c r="JOF92" s="133"/>
      <c r="JOG92" s="133"/>
      <c r="JOH92" s="133"/>
      <c r="JOI92" s="133"/>
      <c r="JOJ92" s="133"/>
      <c r="JOK92" s="133"/>
      <c r="JOL92" s="133"/>
      <c r="JOM92" s="133"/>
      <c r="JON92" s="133"/>
      <c r="JOO92" s="133"/>
      <c r="JOP92" s="133"/>
      <c r="JOQ92" s="133"/>
      <c r="JOR92" s="133"/>
      <c r="JOS92" s="133"/>
      <c r="JOT92" s="133"/>
      <c r="JOU92" s="133"/>
      <c r="JOV92" s="133"/>
      <c r="JOW92" s="133"/>
      <c r="JOX92" s="133"/>
      <c r="JOY92" s="133"/>
      <c r="JOZ92" s="133"/>
      <c r="JPA92" s="133"/>
      <c r="JPB92" s="133"/>
      <c r="JPC92" s="133"/>
      <c r="JPD92" s="133"/>
      <c r="JPE92" s="133"/>
      <c r="JPF92" s="133"/>
      <c r="JPG92" s="133"/>
      <c r="JPH92" s="133"/>
      <c r="JPI92" s="133"/>
      <c r="JPJ92" s="133"/>
      <c r="JPK92" s="133"/>
      <c r="JPL92" s="133"/>
      <c r="JPM92" s="133"/>
      <c r="JPN92" s="133"/>
      <c r="JPO92" s="133"/>
      <c r="JPP92" s="133"/>
      <c r="JPQ92" s="133"/>
      <c r="JPR92" s="133"/>
      <c r="JPS92" s="133"/>
      <c r="JPT92" s="133"/>
      <c r="JPU92" s="133"/>
      <c r="JPV92" s="133"/>
      <c r="JPW92" s="133"/>
      <c r="JPX92" s="133"/>
      <c r="JPY92" s="133"/>
      <c r="JPZ92" s="133"/>
      <c r="JQA92" s="133"/>
      <c r="JQB92" s="133"/>
      <c r="JQC92" s="133"/>
      <c r="JQD92" s="133"/>
      <c r="JQE92" s="133"/>
      <c r="JQF92" s="133"/>
      <c r="JQG92" s="133"/>
      <c r="JQH92" s="133"/>
      <c r="JQI92" s="133"/>
      <c r="JQJ92" s="133"/>
      <c r="JQK92" s="133"/>
      <c r="JQL92" s="133"/>
      <c r="JQM92" s="133"/>
      <c r="JQN92" s="133"/>
      <c r="JQO92" s="133"/>
      <c r="JQP92" s="133"/>
      <c r="JQQ92" s="133"/>
      <c r="JQR92" s="133"/>
      <c r="JQS92" s="133"/>
      <c r="JQT92" s="133"/>
      <c r="JQU92" s="133"/>
      <c r="JQV92" s="133"/>
      <c r="JQW92" s="133"/>
      <c r="JQX92" s="133"/>
      <c r="JQY92" s="133"/>
      <c r="JQZ92" s="133"/>
      <c r="JRA92" s="133"/>
      <c r="JRB92" s="133"/>
      <c r="JRC92" s="133"/>
      <c r="JRD92" s="133"/>
      <c r="JRE92" s="133"/>
      <c r="JRF92" s="133"/>
      <c r="JRG92" s="133"/>
      <c r="JRH92" s="133"/>
      <c r="JRI92" s="133"/>
      <c r="JRJ92" s="133"/>
      <c r="JRK92" s="133"/>
      <c r="JRL92" s="133"/>
      <c r="JRM92" s="133"/>
      <c r="JRN92" s="133"/>
      <c r="JRO92" s="133"/>
      <c r="JRP92" s="133"/>
      <c r="JRQ92" s="133"/>
      <c r="JRR92" s="133"/>
      <c r="JRS92" s="133"/>
      <c r="JRT92" s="133"/>
      <c r="JRU92" s="133"/>
      <c r="JRV92" s="133"/>
      <c r="JRW92" s="133"/>
      <c r="JRX92" s="133"/>
      <c r="JRY92" s="133"/>
      <c r="JRZ92" s="133"/>
      <c r="JSA92" s="133"/>
      <c r="JSB92" s="133"/>
      <c r="JSC92" s="133"/>
      <c r="JSD92" s="133"/>
      <c r="JSE92" s="133"/>
      <c r="JSF92" s="133"/>
      <c r="JSG92" s="133"/>
      <c r="JSH92" s="133"/>
      <c r="JSI92" s="133"/>
      <c r="JSJ92" s="133"/>
      <c r="JSK92" s="133"/>
      <c r="JSL92" s="133"/>
      <c r="JSM92" s="133"/>
      <c r="JSN92" s="133"/>
      <c r="JSO92" s="133"/>
      <c r="JSP92" s="133"/>
      <c r="JSQ92" s="133"/>
      <c r="JSR92" s="133"/>
      <c r="JSS92" s="133"/>
      <c r="JST92" s="133"/>
      <c r="JSU92" s="133"/>
      <c r="JSV92" s="133"/>
      <c r="JSW92" s="133"/>
      <c r="JSX92" s="133"/>
      <c r="JSY92" s="133"/>
      <c r="JSZ92" s="133"/>
      <c r="JTA92" s="133"/>
      <c r="JTB92" s="133"/>
      <c r="JTC92" s="133"/>
      <c r="JTD92" s="133"/>
      <c r="JTE92" s="133"/>
      <c r="JTF92" s="133"/>
      <c r="JTG92" s="133"/>
      <c r="JTH92" s="133"/>
      <c r="JTI92" s="133"/>
      <c r="JTJ92" s="133"/>
      <c r="JTK92" s="133"/>
      <c r="JTL92" s="133"/>
      <c r="JTM92" s="133"/>
      <c r="JTN92" s="133"/>
      <c r="JTO92" s="133"/>
      <c r="JTP92" s="133"/>
      <c r="JTQ92" s="133"/>
      <c r="JTR92" s="133"/>
      <c r="JTS92" s="133"/>
      <c r="JTT92" s="133"/>
      <c r="JTU92" s="133"/>
      <c r="JTV92" s="133"/>
      <c r="JTW92" s="133"/>
      <c r="JTX92" s="133"/>
      <c r="JTY92" s="133"/>
      <c r="JTZ92" s="133"/>
      <c r="JUA92" s="133"/>
      <c r="JUB92" s="133"/>
      <c r="JUC92" s="133"/>
      <c r="JUD92" s="133"/>
      <c r="JUE92" s="133"/>
      <c r="JUF92" s="133"/>
      <c r="JUG92" s="133"/>
      <c r="JUH92" s="133"/>
      <c r="JUI92" s="133"/>
      <c r="JUJ92" s="133"/>
      <c r="JUK92" s="133"/>
      <c r="JUL92" s="133"/>
      <c r="JUM92" s="133"/>
      <c r="JUN92" s="133"/>
      <c r="JUO92" s="133"/>
      <c r="JUP92" s="133"/>
      <c r="JUQ92" s="133"/>
      <c r="JUR92" s="133"/>
      <c r="JUS92" s="133"/>
      <c r="JUT92" s="133"/>
      <c r="JUU92" s="133"/>
      <c r="JUV92" s="133"/>
      <c r="JUW92" s="133"/>
      <c r="JUX92" s="133"/>
      <c r="JUY92" s="133"/>
      <c r="JUZ92" s="133"/>
      <c r="JVA92" s="133"/>
      <c r="JVB92" s="133"/>
      <c r="JVC92" s="133"/>
      <c r="JVD92" s="133"/>
      <c r="JVE92" s="133"/>
      <c r="JVF92" s="133"/>
      <c r="JVG92" s="133"/>
      <c r="JVH92" s="133"/>
      <c r="JVI92" s="133"/>
      <c r="JVJ92" s="133"/>
      <c r="JVK92" s="133"/>
      <c r="JVL92" s="133"/>
      <c r="JVM92" s="133"/>
      <c r="JVN92" s="133"/>
      <c r="JVO92" s="133"/>
      <c r="JVP92" s="133"/>
      <c r="JVQ92" s="133"/>
      <c r="JVR92" s="133"/>
      <c r="JVS92" s="133"/>
      <c r="JVT92" s="133"/>
      <c r="JVU92" s="133"/>
      <c r="JVV92" s="133"/>
      <c r="JVW92" s="133"/>
      <c r="JVX92" s="133"/>
      <c r="JVY92" s="133"/>
      <c r="JVZ92" s="133"/>
      <c r="JWA92" s="133"/>
      <c r="JWB92" s="133"/>
      <c r="JWC92" s="133"/>
      <c r="JWD92" s="133"/>
      <c r="JWE92" s="133"/>
      <c r="JWF92" s="133"/>
      <c r="JWG92" s="133"/>
      <c r="JWH92" s="133"/>
      <c r="JWI92" s="133"/>
      <c r="JWJ92" s="133"/>
      <c r="JWK92" s="133"/>
      <c r="JWL92" s="133"/>
      <c r="JWM92" s="133"/>
      <c r="JWN92" s="133"/>
      <c r="JWO92" s="133"/>
      <c r="JWP92" s="133"/>
      <c r="JWQ92" s="133"/>
      <c r="JWR92" s="133"/>
      <c r="JWS92" s="133"/>
      <c r="JWT92" s="133"/>
      <c r="JWU92" s="133"/>
      <c r="JWV92" s="133"/>
      <c r="JWW92" s="133"/>
      <c r="JWX92" s="133"/>
      <c r="JWY92" s="133"/>
      <c r="JWZ92" s="133"/>
      <c r="JXA92" s="133"/>
      <c r="JXB92" s="133"/>
      <c r="JXC92" s="133"/>
      <c r="JXD92" s="133"/>
      <c r="JXE92" s="133"/>
      <c r="JXF92" s="133"/>
      <c r="JXG92" s="133"/>
      <c r="JXH92" s="133"/>
      <c r="JXI92" s="133"/>
      <c r="JXJ92" s="133"/>
      <c r="JXK92" s="133"/>
      <c r="JXL92" s="133"/>
      <c r="JXM92" s="133"/>
      <c r="JXN92" s="133"/>
      <c r="JXO92" s="133"/>
      <c r="JXP92" s="133"/>
      <c r="JXQ92" s="133"/>
      <c r="JXR92" s="133"/>
      <c r="JXS92" s="133"/>
      <c r="JXT92" s="133"/>
      <c r="JXU92" s="133"/>
      <c r="JXV92" s="133"/>
      <c r="JXW92" s="133"/>
      <c r="JXX92" s="133"/>
      <c r="JXY92" s="133"/>
      <c r="JXZ92" s="133"/>
      <c r="JYA92" s="133"/>
      <c r="JYB92" s="133"/>
      <c r="JYC92" s="133"/>
      <c r="JYD92" s="133"/>
      <c r="JYE92" s="133"/>
      <c r="JYF92" s="133"/>
      <c r="JYG92" s="133"/>
      <c r="JYH92" s="133"/>
      <c r="JYI92" s="133"/>
      <c r="JYJ92" s="133"/>
      <c r="JYK92" s="133"/>
      <c r="JYL92" s="133"/>
      <c r="JYM92" s="133"/>
      <c r="JYN92" s="133"/>
      <c r="JYO92" s="133"/>
      <c r="JYP92" s="133"/>
      <c r="JYQ92" s="133"/>
      <c r="JYR92" s="133"/>
      <c r="JYS92" s="133"/>
      <c r="JYT92" s="133"/>
      <c r="JYU92" s="133"/>
      <c r="JYV92" s="133"/>
      <c r="JYW92" s="133"/>
      <c r="JYX92" s="133"/>
      <c r="JYY92" s="133"/>
      <c r="JYZ92" s="133"/>
      <c r="JZA92" s="133"/>
      <c r="JZB92" s="133"/>
      <c r="JZC92" s="133"/>
      <c r="JZD92" s="133"/>
      <c r="JZE92" s="133"/>
      <c r="JZF92" s="133"/>
      <c r="JZG92" s="133"/>
      <c r="JZH92" s="133"/>
      <c r="JZI92" s="133"/>
      <c r="JZJ92" s="133"/>
      <c r="JZK92" s="133"/>
      <c r="JZL92" s="133"/>
      <c r="JZM92" s="133"/>
      <c r="JZN92" s="133"/>
      <c r="JZO92" s="133"/>
      <c r="JZP92" s="133"/>
      <c r="JZQ92" s="133"/>
      <c r="JZR92" s="133"/>
      <c r="JZS92" s="133"/>
      <c r="JZT92" s="133"/>
      <c r="JZU92" s="133"/>
      <c r="JZV92" s="133"/>
      <c r="JZW92" s="133"/>
      <c r="JZX92" s="133"/>
      <c r="JZY92" s="133"/>
      <c r="JZZ92" s="133"/>
      <c r="KAA92" s="133"/>
      <c r="KAB92" s="133"/>
      <c r="KAC92" s="133"/>
      <c r="KAD92" s="133"/>
      <c r="KAE92" s="133"/>
      <c r="KAF92" s="133"/>
      <c r="KAG92" s="133"/>
      <c r="KAH92" s="133"/>
      <c r="KAI92" s="133"/>
      <c r="KAJ92" s="133"/>
      <c r="KAK92" s="133"/>
      <c r="KAL92" s="133"/>
      <c r="KAM92" s="133"/>
      <c r="KAN92" s="133"/>
      <c r="KAO92" s="133"/>
      <c r="KAP92" s="133"/>
      <c r="KAQ92" s="133"/>
      <c r="KAR92" s="133"/>
      <c r="KAS92" s="133"/>
      <c r="KAT92" s="133"/>
      <c r="KAU92" s="133"/>
      <c r="KAV92" s="133"/>
      <c r="KAW92" s="133"/>
      <c r="KAX92" s="133"/>
      <c r="KAY92" s="133"/>
      <c r="KAZ92" s="133"/>
      <c r="KBA92" s="133"/>
      <c r="KBB92" s="133"/>
      <c r="KBC92" s="133"/>
      <c r="KBD92" s="133"/>
      <c r="KBE92" s="133"/>
      <c r="KBF92" s="133"/>
      <c r="KBG92" s="133"/>
      <c r="KBH92" s="133"/>
      <c r="KBI92" s="133"/>
      <c r="KBJ92" s="133"/>
      <c r="KBK92" s="133"/>
      <c r="KBL92" s="133"/>
      <c r="KBM92" s="133"/>
      <c r="KBN92" s="133"/>
      <c r="KBO92" s="133"/>
      <c r="KBP92" s="133"/>
      <c r="KBQ92" s="133"/>
      <c r="KBR92" s="133"/>
      <c r="KBS92" s="133"/>
      <c r="KBT92" s="133"/>
      <c r="KBU92" s="133"/>
      <c r="KBV92" s="133"/>
      <c r="KBW92" s="133"/>
      <c r="KBX92" s="133"/>
      <c r="KBY92" s="133"/>
      <c r="KBZ92" s="133"/>
      <c r="KCA92" s="133"/>
      <c r="KCB92" s="133"/>
      <c r="KCC92" s="133"/>
      <c r="KCD92" s="133"/>
      <c r="KCE92" s="133"/>
      <c r="KCF92" s="133"/>
      <c r="KCG92" s="133"/>
      <c r="KCH92" s="133"/>
      <c r="KCI92" s="133"/>
      <c r="KCJ92" s="133"/>
      <c r="KCK92" s="133"/>
      <c r="KCL92" s="133"/>
      <c r="KCM92" s="133"/>
      <c r="KCN92" s="133"/>
      <c r="KCO92" s="133"/>
      <c r="KCP92" s="133"/>
      <c r="KCQ92" s="133"/>
      <c r="KCR92" s="133"/>
      <c r="KCS92" s="133"/>
      <c r="KCT92" s="133"/>
      <c r="KCU92" s="133"/>
      <c r="KCV92" s="133"/>
      <c r="KCW92" s="133"/>
      <c r="KCX92" s="133"/>
      <c r="KCY92" s="133"/>
      <c r="KCZ92" s="133"/>
      <c r="KDA92" s="133"/>
      <c r="KDB92" s="133"/>
      <c r="KDC92" s="133"/>
      <c r="KDD92" s="133"/>
      <c r="KDE92" s="133"/>
      <c r="KDF92" s="133"/>
      <c r="KDG92" s="133"/>
      <c r="KDH92" s="133"/>
      <c r="KDI92" s="133"/>
      <c r="KDJ92" s="133"/>
      <c r="KDK92" s="133"/>
      <c r="KDL92" s="133"/>
      <c r="KDM92" s="133"/>
      <c r="KDN92" s="133"/>
      <c r="KDO92" s="133"/>
      <c r="KDP92" s="133"/>
      <c r="KDQ92" s="133"/>
      <c r="KDR92" s="133"/>
      <c r="KDS92" s="133"/>
      <c r="KDT92" s="133"/>
      <c r="KDU92" s="133"/>
      <c r="KDV92" s="133"/>
      <c r="KDW92" s="133"/>
      <c r="KDX92" s="133"/>
      <c r="KDY92" s="133"/>
      <c r="KDZ92" s="133"/>
      <c r="KEA92" s="133"/>
      <c r="KEB92" s="133"/>
      <c r="KEC92" s="133"/>
      <c r="KED92" s="133"/>
      <c r="KEE92" s="133"/>
      <c r="KEF92" s="133"/>
      <c r="KEG92" s="133"/>
      <c r="KEH92" s="133"/>
      <c r="KEI92" s="133"/>
      <c r="KEJ92" s="133"/>
      <c r="KEK92" s="133"/>
      <c r="KEL92" s="133"/>
      <c r="KEM92" s="133"/>
      <c r="KEN92" s="133"/>
      <c r="KEO92" s="133"/>
      <c r="KEP92" s="133"/>
      <c r="KEQ92" s="133"/>
      <c r="KER92" s="133"/>
      <c r="KES92" s="133"/>
      <c r="KET92" s="133"/>
      <c r="KEU92" s="133"/>
      <c r="KEV92" s="133"/>
      <c r="KEW92" s="133"/>
      <c r="KEX92" s="133"/>
      <c r="KEY92" s="133"/>
      <c r="KEZ92" s="133"/>
      <c r="KFA92" s="133"/>
      <c r="KFB92" s="133"/>
      <c r="KFC92" s="133"/>
      <c r="KFD92" s="133"/>
      <c r="KFE92" s="133"/>
      <c r="KFF92" s="133"/>
      <c r="KFG92" s="133"/>
      <c r="KFH92" s="133"/>
      <c r="KFI92" s="133"/>
      <c r="KFJ92" s="133"/>
      <c r="KFK92" s="133"/>
      <c r="KFL92" s="133"/>
      <c r="KFM92" s="133"/>
      <c r="KFN92" s="133"/>
      <c r="KFO92" s="133"/>
      <c r="KFP92" s="133"/>
      <c r="KFQ92" s="133"/>
      <c r="KFR92" s="133"/>
      <c r="KFS92" s="133"/>
      <c r="KFT92" s="133"/>
      <c r="KFU92" s="133"/>
      <c r="KFV92" s="133"/>
      <c r="KFW92" s="133"/>
      <c r="KFX92" s="133"/>
      <c r="KFY92" s="133"/>
      <c r="KFZ92" s="133"/>
      <c r="KGA92" s="133"/>
      <c r="KGB92" s="133"/>
      <c r="KGC92" s="133"/>
      <c r="KGD92" s="133"/>
      <c r="KGE92" s="133"/>
      <c r="KGF92" s="133"/>
      <c r="KGG92" s="133"/>
      <c r="KGH92" s="133"/>
      <c r="KGI92" s="133"/>
      <c r="KGJ92" s="133"/>
      <c r="KGK92" s="133"/>
      <c r="KGL92" s="133"/>
      <c r="KGM92" s="133"/>
      <c r="KGN92" s="133"/>
      <c r="KGO92" s="133"/>
      <c r="KGP92" s="133"/>
      <c r="KGQ92" s="133"/>
      <c r="KGR92" s="133"/>
      <c r="KGS92" s="133"/>
      <c r="KGT92" s="133"/>
      <c r="KGU92" s="133"/>
      <c r="KGV92" s="133"/>
      <c r="KGW92" s="133"/>
      <c r="KGX92" s="133"/>
      <c r="KGY92" s="133"/>
      <c r="KGZ92" s="133"/>
      <c r="KHA92" s="133"/>
      <c r="KHB92" s="133"/>
      <c r="KHC92" s="133"/>
      <c r="KHD92" s="133"/>
      <c r="KHE92" s="133"/>
      <c r="KHF92" s="133"/>
      <c r="KHG92" s="133"/>
      <c r="KHH92" s="133"/>
      <c r="KHI92" s="133"/>
      <c r="KHJ92" s="133"/>
      <c r="KHK92" s="133"/>
      <c r="KHL92" s="133"/>
      <c r="KHM92" s="133"/>
      <c r="KHN92" s="133"/>
      <c r="KHO92" s="133"/>
      <c r="KHP92" s="133"/>
      <c r="KHQ92" s="133"/>
      <c r="KHR92" s="133"/>
      <c r="KHS92" s="133"/>
      <c r="KHT92" s="133"/>
      <c r="KHU92" s="133"/>
      <c r="KHV92" s="133"/>
      <c r="KHW92" s="133"/>
      <c r="KHX92" s="133"/>
      <c r="KHY92" s="133"/>
      <c r="KHZ92" s="133"/>
      <c r="KIA92" s="133"/>
      <c r="KIB92" s="133"/>
      <c r="KIC92" s="133"/>
      <c r="KID92" s="133"/>
      <c r="KIE92" s="133"/>
      <c r="KIF92" s="133"/>
      <c r="KIG92" s="133"/>
      <c r="KIH92" s="133"/>
      <c r="KII92" s="133"/>
      <c r="KIJ92" s="133"/>
      <c r="KIK92" s="133"/>
      <c r="KIL92" s="133"/>
      <c r="KIM92" s="133"/>
      <c r="KIN92" s="133"/>
      <c r="KIO92" s="133"/>
      <c r="KIP92" s="133"/>
      <c r="KIQ92" s="133"/>
      <c r="KIR92" s="133"/>
      <c r="KIS92" s="133"/>
      <c r="KIT92" s="133"/>
      <c r="KIU92" s="133"/>
      <c r="KIV92" s="133"/>
      <c r="KIW92" s="133"/>
      <c r="KIX92" s="133"/>
      <c r="KIY92" s="133"/>
      <c r="KIZ92" s="133"/>
      <c r="KJA92" s="133"/>
      <c r="KJB92" s="133"/>
      <c r="KJC92" s="133"/>
      <c r="KJD92" s="133"/>
      <c r="KJE92" s="133"/>
      <c r="KJF92" s="133"/>
      <c r="KJG92" s="133"/>
      <c r="KJH92" s="133"/>
      <c r="KJI92" s="133"/>
      <c r="KJJ92" s="133"/>
      <c r="KJK92" s="133"/>
      <c r="KJL92" s="133"/>
      <c r="KJM92" s="133"/>
      <c r="KJN92" s="133"/>
      <c r="KJO92" s="133"/>
      <c r="KJP92" s="133"/>
      <c r="KJQ92" s="133"/>
      <c r="KJR92" s="133"/>
      <c r="KJS92" s="133"/>
      <c r="KJT92" s="133"/>
      <c r="KJU92" s="133"/>
      <c r="KJV92" s="133"/>
      <c r="KJW92" s="133"/>
      <c r="KJX92" s="133"/>
      <c r="KJY92" s="133"/>
      <c r="KJZ92" s="133"/>
      <c r="KKA92" s="133"/>
      <c r="KKB92" s="133"/>
      <c r="KKC92" s="133"/>
      <c r="KKD92" s="133"/>
      <c r="KKE92" s="133"/>
      <c r="KKF92" s="133"/>
      <c r="KKG92" s="133"/>
      <c r="KKH92" s="133"/>
      <c r="KKI92" s="133"/>
      <c r="KKJ92" s="133"/>
      <c r="KKK92" s="133"/>
      <c r="KKL92" s="133"/>
      <c r="KKM92" s="133"/>
      <c r="KKN92" s="133"/>
      <c r="KKO92" s="133"/>
      <c r="KKP92" s="133"/>
      <c r="KKQ92" s="133"/>
      <c r="KKR92" s="133"/>
      <c r="KKS92" s="133"/>
      <c r="KKT92" s="133"/>
      <c r="KKU92" s="133"/>
      <c r="KKV92" s="133"/>
      <c r="KKW92" s="133"/>
      <c r="KKX92" s="133"/>
      <c r="KKY92" s="133"/>
      <c r="KKZ92" s="133"/>
      <c r="KLA92" s="133"/>
      <c r="KLB92" s="133"/>
      <c r="KLC92" s="133"/>
      <c r="KLD92" s="133"/>
      <c r="KLE92" s="133"/>
      <c r="KLF92" s="133"/>
      <c r="KLG92" s="133"/>
      <c r="KLH92" s="133"/>
      <c r="KLI92" s="133"/>
      <c r="KLJ92" s="133"/>
      <c r="KLK92" s="133"/>
      <c r="KLL92" s="133"/>
      <c r="KLM92" s="133"/>
      <c r="KLN92" s="133"/>
      <c r="KLO92" s="133"/>
      <c r="KLP92" s="133"/>
      <c r="KLQ92" s="133"/>
      <c r="KLR92" s="133"/>
      <c r="KLS92" s="133"/>
      <c r="KLT92" s="133"/>
      <c r="KLU92" s="133"/>
      <c r="KLV92" s="133"/>
      <c r="KLW92" s="133"/>
      <c r="KLX92" s="133"/>
      <c r="KLY92" s="133"/>
      <c r="KLZ92" s="133"/>
      <c r="KMA92" s="133"/>
      <c r="KMB92" s="133"/>
      <c r="KMC92" s="133"/>
      <c r="KMD92" s="133"/>
      <c r="KME92" s="133"/>
      <c r="KMF92" s="133"/>
      <c r="KMG92" s="133"/>
      <c r="KMH92" s="133"/>
      <c r="KMI92" s="133"/>
      <c r="KMJ92" s="133"/>
      <c r="KMK92" s="133"/>
      <c r="KML92" s="133"/>
      <c r="KMM92" s="133"/>
      <c r="KMN92" s="133"/>
      <c r="KMO92" s="133"/>
      <c r="KMP92" s="133"/>
      <c r="KMQ92" s="133"/>
      <c r="KMR92" s="133"/>
      <c r="KMS92" s="133"/>
      <c r="KMT92" s="133"/>
      <c r="KMU92" s="133"/>
      <c r="KMV92" s="133"/>
      <c r="KMW92" s="133"/>
      <c r="KMX92" s="133"/>
      <c r="KMY92" s="133"/>
      <c r="KMZ92" s="133"/>
      <c r="KNA92" s="133"/>
      <c r="KNB92" s="133"/>
      <c r="KNC92" s="133"/>
      <c r="KND92" s="133"/>
      <c r="KNE92" s="133"/>
      <c r="KNF92" s="133"/>
      <c r="KNG92" s="133"/>
      <c r="KNH92" s="133"/>
      <c r="KNI92" s="133"/>
      <c r="KNJ92" s="133"/>
      <c r="KNK92" s="133"/>
      <c r="KNL92" s="133"/>
      <c r="KNM92" s="133"/>
      <c r="KNN92" s="133"/>
      <c r="KNO92" s="133"/>
      <c r="KNP92" s="133"/>
      <c r="KNQ92" s="133"/>
      <c r="KNR92" s="133"/>
      <c r="KNS92" s="133"/>
      <c r="KNT92" s="133"/>
      <c r="KNU92" s="133"/>
      <c r="KNV92" s="133"/>
      <c r="KNW92" s="133"/>
      <c r="KNX92" s="133"/>
      <c r="KNY92" s="133"/>
      <c r="KNZ92" s="133"/>
      <c r="KOA92" s="133"/>
      <c r="KOB92" s="133"/>
      <c r="KOC92" s="133"/>
      <c r="KOD92" s="133"/>
      <c r="KOE92" s="133"/>
      <c r="KOF92" s="133"/>
      <c r="KOG92" s="133"/>
      <c r="KOH92" s="133"/>
      <c r="KOI92" s="133"/>
      <c r="KOJ92" s="133"/>
      <c r="KOK92" s="133"/>
      <c r="KOL92" s="133"/>
      <c r="KOM92" s="133"/>
      <c r="KON92" s="133"/>
      <c r="KOO92" s="133"/>
      <c r="KOP92" s="133"/>
      <c r="KOQ92" s="133"/>
      <c r="KOR92" s="133"/>
      <c r="KOS92" s="133"/>
      <c r="KOT92" s="133"/>
      <c r="KOU92" s="133"/>
      <c r="KOV92" s="133"/>
      <c r="KOW92" s="133"/>
      <c r="KOX92" s="133"/>
      <c r="KOY92" s="133"/>
      <c r="KOZ92" s="133"/>
      <c r="KPA92" s="133"/>
      <c r="KPB92" s="133"/>
      <c r="KPC92" s="133"/>
      <c r="KPD92" s="133"/>
      <c r="KPE92" s="133"/>
      <c r="KPF92" s="133"/>
      <c r="KPG92" s="133"/>
      <c r="KPH92" s="133"/>
      <c r="KPI92" s="133"/>
      <c r="KPJ92" s="133"/>
      <c r="KPK92" s="133"/>
      <c r="KPL92" s="133"/>
      <c r="KPM92" s="133"/>
      <c r="KPN92" s="133"/>
      <c r="KPO92" s="133"/>
      <c r="KPP92" s="133"/>
      <c r="KPQ92" s="133"/>
      <c r="KPR92" s="133"/>
      <c r="KPS92" s="133"/>
      <c r="KPT92" s="133"/>
      <c r="KPU92" s="133"/>
      <c r="KPV92" s="133"/>
      <c r="KPW92" s="133"/>
      <c r="KPX92" s="133"/>
      <c r="KPY92" s="133"/>
      <c r="KPZ92" s="133"/>
      <c r="KQA92" s="133"/>
      <c r="KQB92" s="133"/>
      <c r="KQC92" s="133"/>
      <c r="KQD92" s="133"/>
      <c r="KQE92" s="133"/>
      <c r="KQF92" s="133"/>
      <c r="KQG92" s="133"/>
      <c r="KQH92" s="133"/>
      <c r="KQI92" s="133"/>
      <c r="KQJ92" s="133"/>
      <c r="KQK92" s="133"/>
      <c r="KQL92" s="133"/>
      <c r="KQM92" s="133"/>
      <c r="KQN92" s="133"/>
      <c r="KQO92" s="133"/>
      <c r="KQP92" s="133"/>
      <c r="KQQ92" s="133"/>
      <c r="KQR92" s="133"/>
      <c r="KQS92" s="133"/>
      <c r="KQT92" s="133"/>
      <c r="KQU92" s="133"/>
      <c r="KQV92" s="133"/>
      <c r="KQW92" s="133"/>
      <c r="KQX92" s="133"/>
      <c r="KQY92" s="133"/>
      <c r="KQZ92" s="133"/>
      <c r="KRA92" s="133"/>
      <c r="KRB92" s="133"/>
      <c r="KRC92" s="133"/>
      <c r="KRD92" s="133"/>
      <c r="KRE92" s="133"/>
      <c r="KRF92" s="133"/>
      <c r="KRG92" s="133"/>
      <c r="KRH92" s="133"/>
      <c r="KRI92" s="133"/>
      <c r="KRJ92" s="133"/>
      <c r="KRK92" s="133"/>
      <c r="KRL92" s="133"/>
      <c r="KRM92" s="133"/>
      <c r="KRN92" s="133"/>
      <c r="KRO92" s="133"/>
      <c r="KRP92" s="133"/>
      <c r="KRQ92" s="133"/>
      <c r="KRR92" s="133"/>
      <c r="KRS92" s="133"/>
      <c r="KRT92" s="133"/>
      <c r="KRU92" s="133"/>
      <c r="KRV92" s="133"/>
      <c r="KRW92" s="133"/>
      <c r="KRX92" s="133"/>
      <c r="KRY92" s="133"/>
      <c r="KRZ92" s="133"/>
      <c r="KSA92" s="133"/>
      <c r="KSB92" s="133"/>
      <c r="KSC92" s="133"/>
      <c r="KSD92" s="133"/>
      <c r="KSE92" s="133"/>
      <c r="KSF92" s="133"/>
      <c r="KSG92" s="133"/>
      <c r="KSH92" s="133"/>
      <c r="KSI92" s="133"/>
      <c r="KSJ92" s="133"/>
      <c r="KSK92" s="133"/>
      <c r="KSL92" s="133"/>
      <c r="KSM92" s="133"/>
      <c r="KSN92" s="133"/>
      <c r="KSO92" s="133"/>
      <c r="KSP92" s="133"/>
      <c r="KSQ92" s="133"/>
      <c r="KSR92" s="133"/>
      <c r="KSS92" s="133"/>
      <c r="KST92" s="133"/>
      <c r="KSU92" s="133"/>
      <c r="KSV92" s="133"/>
      <c r="KSW92" s="133"/>
      <c r="KSX92" s="133"/>
      <c r="KSY92" s="133"/>
      <c r="KSZ92" s="133"/>
      <c r="KTA92" s="133"/>
      <c r="KTB92" s="133"/>
      <c r="KTC92" s="133"/>
      <c r="KTD92" s="133"/>
      <c r="KTE92" s="133"/>
      <c r="KTF92" s="133"/>
      <c r="KTG92" s="133"/>
      <c r="KTH92" s="133"/>
      <c r="KTI92" s="133"/>
      <c r="KTJ92" s="133"/>
      <c r="KTK92" s="133"/>
      <c r="KTL92" s="133"/>
      <c r="KTM92" s="133"/>
      <c r="KTN92" s="133"/>
      <c r="KTO92" s="133"/>
      <c r="KTP92" s="133"/>
      <c r="KTQ92" s="133"/>
      <c r="KTR92" s="133"/>
      <c r="KTS92" s="133"/>
      <c r="KTT92" s="133"/>
      <c r="KTU92" s="133"/>
      <c r="KTV92" s="133"/>
      <c r="KTW92" s="133"/>
      <c r="KTX92" s="133"/>
      <c r="KTY92" s="133"/>
      <c r="KTZ92" s="133"/>
      <c r="KUA92" s="133"/>
      <c r="KUB92" s="133"/>
      <c r="KUC92" s="133"/>
      <c r="KUD92" s="133"/>
      <c r="KUE92" s="133"/>
      <c r="KUF92" s="133"/>
      <c r="KUG92" s="133"/>
      <c r="KUH92" s="133"/>
      <c r="KUI92" s="133"/>
      <c r="KUJ92" s="133"/>
      <c r="KUK92" s="133"/>
      <c r="KUL92" s="133"/>
      <c r="KUM92" s="133"/>
      <c r="KUN92" s="133"/>
      <c r="KUO92" s="133"/>
      <c r="KUP92" s="133"/>
      <c r="KUQ92" s="133"/>
      <c r="KUR92" s="133"/>
      <c r="KUS92" s="133"/>
      <c r="KUT92" s="133"/>
      <c r="KUU92" s="133"/>
      <c r="KUV92" s="133"/>
      <c r="KUW92" s="133"/>
      <c r="KUX92" s="133"/>
      <c r="KUY92" s="133"/>
      <c r="KUZ92" s="133"/>
      <c r="KVA92" s="133"/>
      <c r="KVB92" s="133"/>
      <c r="KVC92" s="133"/>
      <c r="KVD92" s="133"/>
      <c r="KVE92" s="133"/>
      <c r="KVF92" s="133"/>
      <c r="KVG92" s="133"/>
      <c r="KVH92" s="133"/>
      <c r="KVI92" s="133"/>
      <c r="KVJ92" s="133"/>
      <c r="KVK92" s="133"/>
      <c r="KVL92" s="133"/>
      <c r="KVM92" s="133"/>
      <c r="KVN92" s="133"/>
      <c r="KVO92" s="133"/>
      <c r="KVP92" s="133"/>
      <c r="KVQ92" s="133"/>
      <c r="KVR92" s="133"/>
      <c r="KVS92" s="133"/>
      <c r="KVT92" s="133"/>
      <c r="KVU92" s="133"/>
      <c r="KVV92" s="133"/>
      <c r="KVW92" s="133"/>
      <c r="KVX92" s="133"/>
      <c r="KVY92" s="133"/>
      <c r="KVZ92" s="133"/>
      <c r="KWA92" s="133"/>
      <c r="KWB92" s="133"/>
      <c r="KWC92" s="133"/>
      <c r="KWD92" s="133"/>
      <c r="KWE92" s="133"/>
      <c r="KWF92" s="133"/>
      <c r="KWG92" s="133"/>
      <c r="KWH92" s="133"/>
      <c r="KWI92" s="133"/>
      <c r="KWJ92" s="133"/>
      <c r="KWK92" s="133"/>
      <c r="KWL92" s="133"/>
      <c r="KWM92" s="133"/>
      <c r="KWN92" s="133"/>
      <c r="KWO92" s="133"/>
      <c r="KWP92" s="133"/>
      <c r="KWQ92" s="133"/>
      <c r="KWR92" s="133"/>
      <c r="KWS92" s="133"/>
      <c r="KWT92" s="133"/>
      <c r="KWU92" s="133"/>
      <c r="KWV92" s="133"/>
      <c r="KWW92" s="133"/>
      <c r="KWX92" s="133"/>
      <c r="KWY92" s="133"/>
      <c r="KWZ92" s="133"/>
      <c r="KXA92" s="133"/>
      <c r="KXB92" s="133"/>
      <c r="KXC92" s="133"/>
      <c r="KXD92" s="133"/>
      <c r="KXE92" s="133"/>
      <c r="KXF92" s="133"/>
      <c r="KXG92" s="133"/>
      <c r="KXH92" s="133"/>
      <c r="KXI92" s="133"/>
      <c r="KXJ92" s="133"/>
      <c r="KXK92" s="133"/>
      <c r="KXL92" s="133"/>
      <c r="KXM92" s="133"/>
      <c r="KXN92" s="133"/>
      <c r="KXO92" s="133"/>
      <c r="KXP92" s="133"/>
      <c r="KXQ92" s="133"/>
      <c r="KXR92" s="133"/>
      <c r="KXS92" s="133"/>
      <c r="KXT92" s="133"/>
      <c r="KXU92" s="133"/>
      <c r="KXV92" s="133"/>
      <c r="KXW92" s="133"/>
      <c r="KXX92" s="133"/>
      <c r="KXY92" s="133"/>
      <c r="KXZ92" s="133"/>
      <c r="KYA92" s="133"/>
      <c r="KYB92" s="133"/>
      <c r="KYC92" s="133"/>
      <c r="KYD92" s="133"/>
      <c r="KYE92" s="133"/>
      <c r="KYF92" s="133"/>
      <c r="KYG92" s="133"/>
      <c r="KYH92" s="133"/>
      <c r="KYI92" s="133"/>
      <c r="KYJ92" s="133"/>
      <c r="KYK92" s="133"/>
      <c r="KYL92" s="133"/>
      <c r="KYM92" s="133"/>
      <c r="KYN92" s="133"/>
      <c r="KYO92" s="133"/>
      <c r="KYP92" s="133"/>
      <c r="KYQ92" s="133"/>
      <c r="KYR92" s="133"/>
      <c r="KYS92" s="133"/>
      <c r="KYT92" s="133"/>
      <c r="KYU92" s="133"/>
      <c r="KYV92" s="133"/>
      <c r="KYW92" s="133"/>
      <c r="KYX92" s="133"/>
      <c r="KYY92" s="133"/>
      <c r="KYZ92" s="133"/>
      <c r="KZA92" s="133"/>
      <c r="KZB92" s="133"/>
      <c r="KZC92" s="133"/>
      <c r="KZD92" s="133"/>
      <c r="KZE92" s="133"/>
      <c r="KZF92" s="133"/>
      <c r="KZG92" s="133"/>
      <c r="KZH92" s="133"/>
      <c r="KZI92" s="133"/>
      <c r="KZJ92" s="133"/>
      <c r="KZK92" s="133"/>
      <c r="KZL92" s="133"/>
      <c r="KZM92" s="133"/>
      <c r="KZN92" s="133"/>
      <c r="KZO92" s="133"/>
      <c r="KZP92" s="133"/>
      <c r="KZQ92" s="133"/>
      <c r="KZR92" s="133"/>
      <c r="KZS92" s="133"/>
      <c r="KZT92" s="133"/>
      <c r="KZU92" s="133"/>
      <c r="KZV92" s="133"/>
      <c r="KZW92" s="133"/>
      <c r="KZX92" s="133"/>
      <c r="KZY92" s="133"/>
      <c r="KZZ92" s="133"/>
      <c r="LAA92" s="133"/>
      <c r="LAB92" s="133"/>
      <c r="LAC92" s="133"/>
      <c r="LAD92" s="133"/>
      <c r="LAE92" s="133"/>
      <c r="LAF92" s="133"/>
      <c r="LAG92" s="133"/>
      <c r="LAH92" s="133"/>
      <c r="LAI92" s="133"/>
      <c r="LAJ92" s="133"/>
      <c r="LAK92" s="133"/>
      <c r="LAL92" s="133"/>
      <c r="LAM92" s="133"/>
      <c r="LAN92" s="133"/>
      <c r="LAO92" s="133"/>
      <c r="LAP92" s="133"/>
      <c r="LAQ92" s="133"/>
      <c r="LAR92" s="133"/>
      <c r="LAS92" s="133"/>
      <c r="LAT92" s="133"/>
      <c r="LAU92" s="133"/>
      <c r="LAV92" s="133"/>
      <c r="LAW92" s="133"/>
      <c r="LAX92" s="133"/>
      <c r="LAY92" s="133"/>
      <c r="LAZ92" s="133"/>
      <c r="LBA92" s="133"/>
      <c r="LBB92" s="133"/>
      <c r="LBC92" s="133"/>
      <c r="LBD92" s="133"/>
      <c r="LBE92" s="133"/>
      <c r="LBF92" s="133"/>
      <c r="LBG92" s="133"/>
      <c r="LBH92" s="133"/>
      <c r="LBI92" s="133"/>
      <c r="LBJ92" s="133"/>
      <c r="LBK92" s="133"/>
      <c r="LBL92" s="133"/>
      <c r="LBM92" s="133"/>
      <c r="LBN92" s="133"/>
      <c r="LBO92" s="133"/>
      <c r="LBP92" s="133"/>
      <c r="LBQ92" s="133"/>
      <c r="LBR92" s="133"/>
      <c r="LBS92" s="133"/>
      <c r="LBT92" s="133"/>
      <c r="LBU92" s="133"/>
      <c r="LBV92" s="133"/>
      <c r="LBW92" s="133"/>
      <c r="LBX92" s="133"/>
      <c r="LBY92" s="133"/>
      <c r="LBZ92" s="133"/>
      <c r="LCA92" s="133"/>
      <c r="LCB92" s="133"/>
      <c r="LCC92" s="133"/>
      <c r="LCD92" s="133"/>
      <c r="LCE92" s="133"/>
      <c r="LCF92" s="133"/>
      <c r="LCG92" s="133"/>
      <c r="LCH92" s="133"/>
      <c r="LCI92" s="133"/>
      <c r="LCJ92" s="133"/>
      <c r="LCK92" s="133"/>
      <c r="LCL92" s="133"/>
      <c r="LCM92" s="133"/>
      <c r="LCN92" s="133"/>
      <c r="LCO92" s="133"/>
      <c r="LCP92" s="133"/>
      <c r="LCQ92" s="133"/>
      <c r="LCR92" s="133"/>
      <c r="LCS92" s="133"/>
      <c r="LCT92" s="133"/>
      <c r="LCU92" s="133"/>
      <c r="LCV92" s="133"/>
      <c r="LCW92" s="133"/>
      <c r="LCX92" s="133"/>
      <c r="LCY92" s="133"/>
      <c r="LCZ92" s="133"/>
      <c r="LDA92" s="133"/>
      <c r="LDB92" s="133"/>
      <c r="LDC92" s="133"/>
      <c r="LDD92" s="133"/>
      <c r="LDE92" s="133"/>
      <c r="LDF92" s="133"/>
      <c r="LDG92" s="133"/>
      <c r="LDH92" s="133"/>
      <c r="LDI92" s="133"/>
      <c r="LDJ92" s="133"/>
      <c r="LDK92" s="133"/>
      <c r="LDL92" s="133"/>
      <c r="LDM92" s="133"/>
      <c r="LDN92" s="133"/>
      <c r="LDO92" s="133"/>
      <c r="LDP92" s="133"/>
      <c r="LDQ92" s="133"/>
      <c r="LDR92" s="133"/>
      <c r="LDS92" s="133"/>
      <c r="LDT92" s="133"/>
      <c r="LDU92" s="133"/>
      <c r="LDV92" s="133"/>
      <c r="LDW92" s="133"/>
      <c r="LDX92" s="133"/>
      <c r="LDY92" s="133"/>
      <c r="LDZ92" s="133"/>
      <c r="LEA92" s="133"/>
      <c r="LEB92" s="133"/>
      <c r="LEC92" s="133"/>
      <c r="LED92" s="133"/>
      <c r="LEE92" s="133"/>
      <c r="LEF92" s="133"/>
      <c r="LEG92" s="133"/>
      <c r="LEH92" s="133"/>
      <c r="LEI92" s="133"/>
      <c r="LEJ92" s="133"/>
      <c r="LEK92" s="133"/>
      <c r="LEL92" s="133"/>
      <c r="LEM92" s="133"/>
      <c r="LEN92" s="133"/>
      <c r="LEO92" s="133"/>
      <c r="LEP92" s="133"/>
      <c r="LEQ92" s="133"/>
      <c r="LER92" s="133"/>
      <c r="LES92" s="133"/>
      <c r="LET92" s="133"/>
      <c r="LEU92" s="133"/>
      <c r="LEV92" s="133"/>
      <c r="LEW92" s="133"/>
      <c r="LEX92" s="133"/>
      <c r="LEY92" s="133"/>
      <c r="LEZ92" s="133"/>
      <c r="LFA92" s="133"/>
      <c r="LFB92" s="133"/>
      <c r="LFC92" s="133"/>
      <c r="LFD92" s="133"/>
      <c r="LFE92" s="133"/>
      <c r="LFF92" s="133"/>
      <c r="LFG92" s="133"/>
      <c r="LFH92" s="133"/>
      <c r="LFI92" s="133"/>
      <c r="LFJ92" s="133"/>
      <c r="LFK92" s="133"/>
      <c r="LFL92" s="133"/>
      <c r="LFM92" s="133"/>
      <c r="LFN92" s="133"/>
      <c r="LFO92" s="133"/>
      <c r="LFP92" s="133"/>
      <c r="LFQ92" s="133"/>
      <c r="LFR92" s="133"/>
      <c r="LFS92" s="133"/>
      <c r="LFT92" s="133"/>
      <c r="LFU92" s="133"/>
      <c r="LFV92" s="133"/>
      <c r="LFW92" s="133"/>
      <c r="LFX92" s="133"/>
      <c r="LFY92" s="133"/>
      <c r="LFZ92" s="133"/>
      <c r="LGA92" s="133"/>
      <c r="LGB92" s="133"/>
      <c r="LGC92" s="133"/>
      <c r="LGD92" s="133"/>
      <c r="LGE92" s="133"/>
      <c r="LGF92" s="133"/>
      <c r="LGG92" s="133"/>
      <c r="LGH92" s="133"/>
      <c r="LGI92" s="133"/>
      <c r="LGJ92" s="133"/>
      <c r="LGK92" s="133"/>
      <c r="LGL92" s="133"/>
      <c r="LGM92" s="133"/>
      <c r="LGN92" s="133"/>
      <c r="LGO92" s="133"/>
      <c r="LGP92" s="133"/>
      <c r="LGQ92" s="133"/>
      <c r="LGR92" s="133"/>
      <c r="LGS92" s="133"/>
      <c r="LGT92" s="133"/>
      <c r="LGU92" s="133"/>
      <c r="LGV92" s="133"/>
      <c r="LGW92" s="133"/>
      <c r="LGX92" s="133"/>
      <c r="LGY92" s="133"/>
      <c r="LGZ92" s="133"/>
      <c r="LHA92" s="133"/>
      <c r="LHB92" s="133"/>
      <c r="LHC92" s="133"/>
      <c r="LHD92" s="133"/>
      <c r="LHE92" s="133"/>
      <c r="LHF92" s="133"/>
      <c r="LHG92" s="133"/>
      <c r="LHH92" s="133"/>
      <c r="LHI92" s="133"/>
      <c r="LHJ92" s="133"/>
      <c r="LHK92" s="133"/>
      <c r="LHL92" s="133"/>
      <c r="LHM92" s="133"/>
      <c r="LHN92" s="133"/>
      <c r="LHO92" s="133"/>
      <c r="LHP92" s="133"/>
      <c r="LHQ92" s="133"/>
      <c r="LHR92" s="133"/>
      <c r="LHS92" s="133"/>
      <c r="LHT92" s="133"/>
      <c r="LHU92" s="133"/>
      <c r="LHV92" s="133"/>
      <c r="LHW92" s="133"/>
      <c r="LHX92" s="133"/>
      <c r="LHY92" s="133"/>
      <c r="LHZ92" s="133"/>
      <c r="LIA92" s="133"/>
      <c r="LIB92" s="133"/>
      <c r="LIC92" s="133"/>
      <c r="LID92" s="133"/>
      <c r="LIE92" s="133"/>
      <c r="LIF92" s="133"/>
      <c r="LIG92" s="133"/>
      <c r="LIH92" s="133"/>
      <c r="LII92" s="133"/>
      <c r="LIJ92" s="133"/>
      <c r="LIK92" s="133"/>
      <c r="LIL92" s="133"/>
      <c r="LIM92" s="133"/>
      <c r="LIN92" s="133"/>
      <c r="LIO92" s="133"/>
      <c r="LIP92" s="133"/>
      <c r="LIQ92" s="133"/>
      <c r="LIR92" s="133"/>
      <c r="LIS92" s="133"/>
      <c r="LIT92" s="133"/>
      <c r="LIU92" s="133"/>
      <c r="LIV92" s="133"/>
      <c r="LIW92" s="133"/>
      <c r="LIX92" s="133"/>
      <c r="LIY92" s="133"/>
      <c r="LIZ92" s="133"/>
      <c r="LJA92" s="133"/>
      <c r="LJB92" s="133"/>
      <c r="LJC92" s="133"/>
      <c r="LJD92" s="133"/>
      <c r="LJE92" s="133"/>
      <c r="LJF92" s="133"/>
      <c r="LJG92" s="133"/>
      <c r="LJH92" s="133"/>
      <c r="LJI92" s="133"/>
      <c r="LJJ92" s="133"/>
      <c r="LJK92" s="133"/>
      <c r="LJL92" s="133"/>
      <c r="LJM92" s="133"/>
      <c r="LJN92" s="133"/>
      <c r="LJO92" s="133"/>
      <c r="LJP92" s="133"/>
      <c r="LJQ92" s="133"/>
      <c r="LJR92" s="133"/>
      <c r="LJS92" s="133"/>
      <c r="LJT92" s="133"/>
      <c r="LJU92" s="133"/>
      <c r="LJV92" s="133"/>
      <c r="LJW92" s="133"/>
      <c r="LJX92" s="133"/>
      <c r="LJY92" s="133"/>
      <c r="LJZ92" s="133"/>
      <c r="LKA92" s="133"/>
      <c r="LKB92" s="133"/>
      <c r="LKC92" s="133"/>
      <c r="LKD92" s="133"/>
      <c r="LKE92" s="133"/>
      <c r="LKF92" s="133"/>
      <c r="LKG92" s="133"/>
      <c r="LKH92" s="133"/>
      <c r="LKI92" s="133"/>
      <c r="LKJ92" s="133"/>
      <c r="LKK92" s="133"/>
      <c r="LKL92" s="133"/>
      <c r="LKM92" s="133"/>
      <c r="LKN92" s="133"/>
      <c r="LKO92" s="133"/>
      <c r="LKP92" s="133"/>
      <c r="LKQ92" s="133"/>
      <c r="LKR92" s="133"/>
      <c r="LKS92" s="133"/>
      <c r="LKT92" s="133"/>
      <c r="LKU92" s="133"/>
      <c r="LKV92" s="133"/>
      <c r="LKW92" s="133"/>
      <c r="LKX92" s="133"/>
      <c r="LKY92" s="133"/>
      <c r="LKZ92" s="133"/>
      <c r="LLA92" s="133"/>
      <c r="LLB92" s="133"/>
      <c r="LLC92" s="133"/>
      <c r="LLD92" s="133"/>
      <c r="LLE92" s="133"/>
      <c r="LLF92" s="133"/>
      <c r="LLG92" s="133"/>
      <c r="LLH92" s="133"/>
      <c r="LLI92" s="133"/>
      <c r="LLJ92" s="133"/>
      <c r="LLK92" s="133"/>
      <c r="LLL92" s="133"/>
      <c r="LLM92" s="133"/>
      <c r="LLN92" s="133"/>
      <c r="LLO92" s="133"/>
      <c r="LLP92" s="133"/>
      <c r="LLQ92" s="133"/>
      <c r="LLR92" s="133"/>
      <c r="LLS92" s="133"/>
      <c r="LLT92" s="133"/>
      <c r="LLU92" s="133"/>
      <c r="LLV92" s="133"/>
      <c r="LLW92" s="133"/>
      <c r="LLX92" s="133"/>
      <c r="LLY92" s="133"/>
      <c r="LLZ92" s="133"/>
      <c r="LMA92" s="133"/>
      <c r="LMB92" s="133"/>
      <c r="LMC92" s="133"/>
      <c r="LMD92" s="133"/>
      <c r="LME92" s="133"/>
      <c r="LMF92" s="133"/>
      <c r="LMG92" s="133"/>
      <c r="LMH92" s="133"/>
      <c r="LMI92" s="133"/>
      <c r="LMJ92" s="133"/>
      <c r="LMK92" s="133"/>
      <c r="LML92" s="133"/>
      <c r="LMM92" s="133"/>
      <c r="LMN92" s="133"/>
      <c r="LMO92" s="133"/>
      <c r="LMP92" s="133"/>
      <c r="LMQ92" s="133"/>
      <c r="LMR92" s="133"/>
      <c r="LMS92" s="133"/>
      <c r="LMT92" s="133"/>
      <c r="LMU92" s="133"/>
      <c r="LMV92" s="133"/>
      <c r="LMW92" s="133"/>
      <c r="LMX92" s="133"/>
      <c r="LMY92" s="133"/>
      <c r="LMZ92" s="133"/>
      <c r="LNA92" s="133"/>
      <c r="LNB92" s="133"/>
      <c r="LNC92" s="133"/>
      <c r="LND92" s="133"/>
      <c r="LNE92" s="133"/>
      <c r="LNF92" s="133"/>
      <c r="LNG92" s="133"/>
      <c r="LNH92" s="133"/>
      <c r="LNI92" s="133"/>
      <c r="LNJ92" s="133"/>
      <c r="LNK92" s="133"/>
      <c r="LNL92" s="133"/>
      <c r="LNM92" s="133"/>
      <c r="LNN92" s="133"/>
      <c r="LNO92" s="133"/>
      <c r="LNP92" s="133"/>
      <c r="LNQ92" s="133"/>
      <c r="LNR92" s="133"/>
      <c r="LNS92" s="133"/>
      <c r="LNT92" s="133"/>
      <c r="LNU92" s="133"/>
      <c r="LNV92" s="133"/>
      <c r="LNW92" s="133"/>
      <c r="LNX92" s="133"/>
      <c r="LNY92" s="133"/>
      <c r="LNZ92" s="133"/>
      <c r="LOA92" s="133"/>
      <c r="LOB92" s="133"/>
      <c r="LOC92" s="133"/>
      <c r="LOD92" s="133"/>
      <c r="LOE92" s="133"/>
      <c r="LOF92" s="133"/>
      <c r="LOG92" s="133"/>
      <c r="LOH92" s="133"/>
      <c r="LOI92" s="133"/>
      <c r="LOJ92" s="133"/>
      <c r="LOK92" s="133"/>
      <c r="LOL92" s="133"/>
      <c r="LOM92" s="133"/>
      <c r="LON92" s="133"/>
      <c r="LOO92" s="133"/>
      <c r="LOP92" s="133"/>
      <c r="LOQ92" s="133"/>
      <c r="LOR92" s="133"/>
      <c r="LOS92" s="133"/>
      <c r="LOT92" s="133"/>
      <c r="LOU92" s="133"/>
      <c r="LOV92" s="133"/>
      <c r="LOW92" s="133"/>
      <c r="LOX92" s="133"/>
      <c r="LOY92" s="133"/>
      <c r="LOZ92" s="133"/>
      <c r="LPA92" s="133"/>
      <c r="LPB92" s="133"/>
      <c r="LPC92" s="133"/>
      <c r="LPD92" s="133"/>
      <c r="LPE92" s="133"/>
      <c r="LPF92" s="133"/>
      <c r="LPG92" s="133"/>
      <c r="LPH92" s="133"/>
      <c r="LPI92" s="133"/>
      <c r="LPJ92" s="133"/>
      <c r="LPK92" s="133"/>
      <c r="LPL92" s="133"/>
      <c r="LPM92" s="133"/>
      <c r="LPN92" s="133"/>
      <c r="LPO92" s="133"/>
      <c r="LPP92" s="133"/>
      <c r="LPQ92" s="133"/>
      <c r="LPR92" s="133"/>
      <c r="LPS92" s="133"/>
      <c r="LPT92" s="133"/>
      <c r="LPU92" s="133"/>
      <c r="LPV92" s="133"/>
      <c r="LPW92" s="133"/>
      <c r="LPX92" s="133"/>
      <c r="LPY92" s="133"/>
      <c r="LPZ92" s="133"/>
      <c r="LQA92" s="133"/>
      <c r="LQB92" s="133"/>
      <c r="LQC92" s="133"/>
      <c r="LQD92" s="133"/>
      <c r="LQE92" s="133"/>
      <c r="LQF92" s="133"/>
      <c r="LQG92" s="133"/>
      <c r="LQH92" s="133"/>
      <c r="LQI92" s="133"/>
      <c r="LQJ92" s="133"/>
      <c r="LQK92" s="133"/>
      <c r="LQL92" s="133"/>
      <c r="LQM92" s="133"/>
      <c r="LQN92" s="133"/>
      <c r="LQO92" s="133"/>
      <c r="LQP92" s="133"/>
      <c r="LQQ92" s="133"/>
      <c r="LQR92" s="133"/>
      <c r="LQS92" s="133"/>
      <c r="LQT92" s="133"/>
      <c r="LQU92" s="133"/>
      <c r="LQV92" s="133"/>
      <c r="LQW92" s="133"/>
      <c r="LQX92" s="133"/>
      <c r="LQY92" s="133"/>
      <c r="LQZ92" s="133"/>
      <c r="LRA92" s="133"/>
      <c r="LRB92" s="133"/>
      <c r="LRC92" s="133"/>
      <c r="LRD92" s="133"/>
      <c r="LRE92" s="133"/>
      <c r="LRF92" s="133"/>
      <c r="LRG92" s="133"/>
      <c r="LRH92" s="133"/>
      <c r="LRI92" s="133"/>
      <c r="LRJ92" s="133"/>
      <c r="LRK92" s="133"/>
      <c r="LRL92" s="133"/>
      <c r="LRM92" s="133"/>
      <c r="LRN92" s="133"/>
      <c r="LRO92" s="133"/>
      <c r="LRP92" s="133"/>
      <c r="LRQ92" s="133"/>
      <c r="LRR92" s="133"/>
      <c r="LRS92" s="133"/>
      <c r="LRT92" s="133"/>
      <c r="LRU92" s="133"/>
      <c r="LRV92" s="133"/>
      <c r="LRW92" s="133"/>
      <c r="LRX92" s="133"/>
      <c r="LRY92" s="133"/>
      <c r="LRZ92" s="133"/>
      <c r="LSA92" s="133"/>
      <c r="LSB92" s="133"/>
      <c r="LSC92" s="133"/>
      <c r="LSD92" s="133"/>
      <c r="LSE92" s="133"/>
      <c r="LSF92" s="133"/>
      <c r="LSG92" s="133"/>
      <c r="LSH92" s="133"/>
      <c r="LSI92" s="133"/>
      <c r="LSJ92" s="133"/>
      <c r="LSK92" s="133"/>
      <c r="LSL92" s="133"/>
      <c r="LSM92" s="133"/>
      <c r="LSN92" s="133"/>
      <c r="LSO92" s="133"/>
      <c r="LSP92" s="133"/>
      <c r="LSQ92" s="133"/>
      <c r="LSR92" s="133"/>
      <c r="LSS92" s="133"/>
      <c r="LST92" s="133"/>
      <c r="LSU92" s="133"/>
      <c r="LSV92" s="133"/>
      <c r="LSW92" s="133"/>
      <c r="LSX92" s="133"/>
      <c r="LSY92" s="133"/>
      <c r="LSZ92" s="133"/>
      <c r="LTA92" s="133"/>
      <c r="LTB92" s="133"/>
      <c r="LTC92" s="133"/>
      <c r="LTD92" s="133"/>
      <c r="LTE92" s="133"/>
      <c r="LTF92" s="133"/>
      <c r="LTG92" s="133"/>
      <c r="LTH92" s="133"/>
      <c r="LTI92" s="133"/>
      <c r="LTJ92" s="133"/>
      <c r="LTK92" s="133"/>
      <c r="LTL92" s="133"/>
      <c r="LTM92" s="133"/>
      <c r="LTN92" s="133"/>
      <c r="LTO92" s="133"/>
      <c r="LTP92" s="133"/>
      <c r="LTQ92" s="133"/>
      <c r="LTR92" s="133"/>
      <c r="LTS92" s="133"/>
      <c r="LTT92" s="133"/>
      <c r="LTU92" s="133"/>
      <c r="LTV92" s="133"/>
      <c r="LTW92" s="133"/>
      <c r="LTX92" s="133"/>
      <c r="LTY92" s="133"/>
      <c r="LTZ92" s="133"/>
      <c r="LUA92" s="133"/>
      <c r="LUB92" s="133"/>
      <c r="LUC92" s="133"/>
      <c r="LUD92" s="133"/>
      <c r="LUE92" s="133"/>
      <c r="LUF92" s="133"/>
      <c r="LUG92" s="133"/>
      <c r="LUH92" s="133"/>
      <c r="LUI92" s="133"/>
      <c r="LUJ92" s="133"/>
      <c r="LUK92" s="133"/>
      <c r="LUL92" s="133"/>
      <c r="LUM92" s="133"/>
      <c r="LUN92" s="133"/>
      <c r="LUO92" s="133"/>
      <c r="LUP92" s="133"/>
      <c r="LUQ92" s="133"/>
      <c r="LUR92" s="133"/>
      <c r="LUS92" s="133"/>
      <c r="LUT92" s="133"/>
      <c r="LUU92" s="133"/>
      <c r="LUV92" s="133"/>
      <c r="LUW92" s="133"/>
      <c r="LUX92" s="133"/>
      <c r="LUY92" s="133"/>
      <c r="LUZ92" s="133"/>
      <c r="LVA92" s="133"/>
      <c r="LVB92" s="133"/>
      <c r="LVC92" s="133"/>
      <c r="LVD92" s="133"/>
      <c r="LVE92" s="133"/>
      <c r="LVF92" s="133"/>
      <c r="LVG92" s="133"/>
      <c r="LVH92" s="133"/>
      <c r="LVI92" s="133"/>
      <c r="LVJ92" s="133"/>
      <c r="LVK92" s="133"/>
      <c r="LVL92" s="133"/>
      <c r="LVM92" s="133"/>
      <c r="LVN92" s="133"/>
      <c r="LVO92" s="133"/>
      <c r="LVP92" s="133"/>
      <c r="LVQ92" s="133"/>
      <c r="LVR92" s="133"/>
      <c r="LVS92" s="133"/>
      <c r="LVT92" s="133"/>
      <c r="LVU92" s="133"/>
      <c r="LVV92" s="133"/>
      <c r="LVW92" s="133"/>
      <c r="LVX92" s="133"/>
      <c r="LVY92" s="133"/>
      <c r="LVZ92" s="133"/>
      <c r="LWA92" s="133"/>
      <c r="LWB92" s="133"/>
      <c r="LWC92" s="133"/>
      <c r="LWD92" s="133"/>
      <c r="LWE92" s="133"/>
      <c r="LWF92" s="133"/>
      <c r="LWG92" s="133"/>
      <c r="LWH92" s="133"/>
      <c r="LWI92" s="133"/>
      <c r="LWJ92" s="133"/>
      <c r="LWK92" s="133"/>
      <c r="LWL92" s="133"/>
      <c r="LWM92" s="133"/>
      <c r="LWN92" s="133"/>
      <c r="LWO92" s="133"/>
      <c r="LWP92" s="133"/>
      <c r="LWQ92" s="133"/>
      <c r="LWR92" s="133"/>
      <c r="LWS92" s="133"/>
      <c r="LWT92" s="133"/>
      <c r="LWU92" s="133"/>
      <c r="LWV92" s="133"/>
      <c r="LWW92" s="133"/>
      <c r="LWX92" s="133"/>
      <c r="LWY92" s="133"/>
      <c r="LWZ92" s="133"/>
      <c r="LXA92" s="133"/>
      <c r="LXB92" s="133"/>
      <c r="LXC92" s="133"/>
      <c r="LXD92" s="133"/>
      <c r="LXE92" s="133"/>
      <c r="LXF92" s="133"/>
      <c r="LXG92" s="133"/>
      <c r="LXH92" s="133"/>
      <c r="LXI92" s="133"/>
      <c r="LXJ92" s="133"/>
      <c r="LXK92" s="133"/>
      <c r="LXL92" s="133"/>
      <c r="LXM92" s="133"/>
      <c r="LXN92" s="133"/>
      <c r="LXO92" s="133"/>
      <c r="LXP92" s="133"/>
      <c r="LXQ92" s="133"/>
      <c r="LXR92" s="133"/>
      <c r="LXS92" s="133"/>
      <c r="LXT92" s="133"/>
      <c r="LXU92" s="133"/>
      <c r="LXV92" s="133"/>
      <c r="LXW92" s="133"/>
      <c r="LXX92" s="133"/>
      <c r="LXY92" s="133"/>
      <c r="LXZ92" s="133"/>
      <c r="LYA92" s="133"/>
      <c r="LYB92" s="133"/>
      <c r="LYC92" s="133"/>
      <c r="LYD92" s="133"/>
      <c r="LYE92" s="133"/>
      <c r="LYF92" s="133"/>
      <c r="LYG92" s="133"/>
      <c r="LYH92" s="133"/>
      <c r="LYI92" s="133"/>
      <c r="LYJ92" s="133"/>
      <c r="LYK92" s="133"/>
      <c r="LYL92" s="133"/>
      <c r="LYM92" s="133"/>
      <c r="LYN92" s="133"/>
      <c r="LYO92" s="133"/>
      <c r="LYP92" s="133"/>
      <c r="LYQ92" s="133"/>
      <c r="LYR92" s="133"/>
      <c r="LYS92" s="133"/>
      <c r="LYT92" s="133"/>
      <c r="LYU92" s="133"/>
      <c r="LYV92" s="133"/>
      <c r="LYW92" s="133"/>
      <c r="LYX92" s="133"/>
      <c r="LYY92" s="133"/>
      <c r="LYZ92" s="133"/>
      <c r="LZA92" s="133"/>
      <c r="LZB92" s="133"/>
      <c r="LZC92" s="133"/>
      <c r="LZD92" s="133"/>
      <c r="LZE92" s="133"/>
      <c r="LZF92" s="133"/>
      <c r="LZG92" s="133"/>
      <c r="LZH92" s="133"/>
      <c r="LZI92" s="133"/>
      <c r="LZJ92" s="133"/>
      <c r="LZK92" s="133"/>
      <c r="LZL92" s="133"/>
      <c r="LZM92" s="133"/>
      <c r="LZN92" s="133"/>
      <c r="LZO92" s="133"/>
      <c r="LZP92" s="133"/>
      <c r="LZQ92" s="133"/>
      <c r="LZR92" s="133"/>
      <c r="LZS92" s="133"/>
      <c r="LZT92" s="133"/>
      <c r="LZU92" s="133"/>
      <c r="LZV92" s="133"/>
      <c r="LZW92" s="133"/>
      <c r="LZX92" s="133"/>
      <c r="LZY92" s="133"/>
      <c r="LZZ92" s="133"/>
      <c r="MAA92" s="133"/>
      <c r="MAB92" s="133"/>
      <c r="MAC92" s="133"/>
      <c r="MAD92" s="133"/>
      <c r="MAE92" s="133"/>
      <c r="MAF92" s="133"/>
      <c r="MAG92" s="133"/>
      <c r="MAH92" s="133"/>
      <c r="MAI92" s="133"/>
      <c r="MAJ92" s="133"/>
      <c r="MAK92" s="133"/>
      <c r="MAL92" s="133"/>
      <c r="MAM92" s="133"/>
      <c r="MAN92" s="133"/>
      <c r="MAO92" s="133"/>
      <c r="MAP92" s="133"/>
      <c r="MAQ92" s="133"/>
      <c r="MAR92" s="133"/>
      <c r="MAS92" s="133"/>
      <c r="MAT92" s="133"/>
      <c r="MAU92" s="133"/>
      <c r="MAV92" s="133"/>
      <c r="MAW92" s="133"/>
      <c r="MAX92" s="133"/>
      <c r="MAY92" s="133"/>
      <c r="MAZ92" s="133"/>
      <c r="MBA92" s="133"/>
      <c r="MBB92" s="133"/>
      <c r="MBC92" s="133"/>
      <c r="MBD92" s="133"/>
      <c r="MBE92" s="133"/>
      <c r="MBF92" s="133"/>
      <c r="MBG92" s="133"/>
      <c r="MBH92" s="133"/>
      <c r="MBI92" s="133"/>
      <c r="MBJ92" s="133"/>
      <c r="MBK92" s="133"/>
      <c r="MBL92" s="133"/>
      <c r="MBM92" s="133"/>
      <c r="MBN92" s="133"/>
      <c r="MBO92" s="133"/>
      <c r="MBP92" s="133"/>
      <c r="MBQ92" s="133"/>
      <c r="MBR92" s="133"/>
      <c r="MBS92" s="133"/>
      <c r="MBT92" s="133"/>
      <c r="MBU92" s="133"/>
      <c r="MBV92" s="133"/>
      <c r="MBW92" s="133"/>
      <c r="MBX92" s="133"/>
      <c r="MBY92" s="133"/>
      <c r="MBZ92" s="133"/>
      <c r="MCA92" s="133"/>
      <c r="MCB92" s="133"/>
      <c r="MCC92" s="133"/>
      <c r="MCD92" s="133"/>
      <c r="MCE92" s="133"/>
      <c r="MCF92" s="133"/>
      <c r="MCG92" s="133"/>
      <c r="MCH92" s="133"/>
      <c r="MCI92" s="133"/>
      <c r="MCJ92" s="133"/>
      <c r="MCK92" s="133"/>
      <c r="MCL92" s="133"/>
      <c r="MCM92" s="133"/>
      <c r="MCN92" s="133"/>
      <c r="MCO92" s="133"/>
      <c r="MCP92" s="133"/>
      <c r="MCQ92" s="133"/>
      <c r="MCR92" s="133"/>
      <c r="MCS92" s="133"/>
      <c r="MCT92" s="133"/>
      <c r="MCU92" s="133"/>
      <c r="MCV92" s="133"/>
      <c r="MCW92" s="133"/>
      <c r="MCX92" s="133"/>
      <c r="MCY92" s="133"/>
      <c r="MCZ92" s="133"/>
      <c r="MDA92" s="133"/>
      <c r="MDB92" s="133"/>
      <c r="MDC92" s="133"/>
      <c r="MDD92" s="133"/>
      <c r="MDE92" s="133"/>
      <c r="MDF92" s="133"/>
      <c r="MDG92" s="133"/>
      <c r="MDH92" s="133"/>
      <c r="MDI92" s="133"/>
      <c r="MDJ92" s="133"/>
      <c r="MDK92" s="133"/>
      <c r="MDL92" s="133"/>
      <c r="MDM92" s="133"/>
      <c r="MDN92" s="133"/>
      <c r="MDO92" s="133"/>
      <c r="MDP92" s="133"/>
      <c r="MDQ92" s="133"/>
      <c r="MDR92" s="133"/>
      <c r="MDS92" s="133"/>
      <c r="MDT92" s="133"/>
      <c r="MDU92" s="133"/>
      <c r="MDV92" s="133"/>
      <c r="MDW92" s="133"/>
      <c r="MDX92" s="133"/>
      <c r="MDY92" s="133"/>
      <c r="MDZ92" s="133"/>
      <c r="MEA92" s="133"/>
      <c r="MEB92" s="133"/>
      <c r="MEC92" s="133"/>
      <c r="MED92" s="133"/>
      <c r="MEE92" s="133"/>
      <c r="MEF92" s="133"/>
      <c r="MEG92" s="133"/>
      <c r="MEH92" s="133"/>
      <c r="MEI92" s="133"/>
      <c r="MEJ92" s="133"/>
      <c r="MEK92" s="133"/>
      <c r="MEL92" s="133"/>
      <c r="MEM92" s="133"/>
      <c r="MEN92" s="133"/>
      <c r="MEO92" s="133"/>
      <c r="MEP92" s="133"/>
      <c r="MEQ92" s="133"/>
      <c r="MER92" s="133"/>
      <c r="MES92" s="133"/>
      <c r="MET92" s="133"/>
      <c r="MEU92" s="133"/>
      <c r="MEV92" s="133"/>
      <c r="MEW92" s="133"/>
      <c r="MEX92" s="133"/>
      <c r="MEY92" s="133"/>
      <c r="MEZ92" s="133"/>
      <c r="MFA92" s="133"/>
      <c r="MFB92" s="133"/>
      <c r="MFC92" s="133"/>
      <c r="MFD92" s="133"/>
      <c r="MFE92" s="133"/>
      <c r="MFF92" s="133"/>
      <c r="MFG92" s="133"/>
      <c r="MFH92" s="133"/>
      <c r="MFI92" s="133"/>
      <c r="MFJ92" s="133"/>
      <c r="MFK92" s="133"/>
      <c r="MFL92" s="133"/>
      <c r="MFM92" s="133"/>
      <c r="MFN92" s="133"/>
      <c r="MFO92" s="133"/>
      <c r="MFP92" s="133"/>
      <c r="MFQ92" s="133"/>
      <c r="MFR92" s="133"/>
      <c r="MFS92" s="133"/>
      <c r="MFT92" s="133"/>
      <c r="MFU92" s="133"/>
      <c r="MFV92" s="133"/>
      <c r="MFW92" s="133"/>
      <c r="MFX92" s="133"/>
      <c r="MFY92" s="133"/>
      <c r="MFZ92" s="133"/>
      <c r="MGA92" s="133"/>
      <c r="MGB92" s="133"/>
      <c r="MGC92" s="133"/>
      <c r="MGD92" s="133"/>
      <c r="MGE92" s="133"/>
      <c r="MGF92" s="133"/>
      <c r="MGG92" s="133"/>
      <c r="MGH92" s="133"/>
      <c r="MGI92" s="133"/>
      <c r="MGJ92" s="133"/>
      <c r="MGK92" s="133"/>
      <c r="MGL92" s="133"/>
      <c r="MGM92" s="133"/>
      <c r="MGN92" s="133"/>
      <c r="MGO92" s="133"/>
      <c r="MGP92" s="133"/>
      <c r="MGQ92" s="133"/>
      <c r="MGR92" s="133"/>
      <c r="MGS92" s="133"/>
      <c r="MGT92" s="133"/>
      <c r="MGU92" s="133"/>
      <c r="MGV92" s="133"/>
      <c r="MGW92" s="133"/>
      <c r="MGX92" s="133"/>
      <c r="MGY92" s="133"/>
      <c r="MGZ92" s="133"/>
      <c r="MHA92" s="133"/>
      <c r="MHB92" s="133"/>
      <c r="MHC92" s="133"/>
      <c r="MHD92" s="133"/>
      <c r="MHE92" s="133"/>
      <c r="MHF92" s="133"/>
      <c r="MHG92" s="133"/>
      <c r="MHH92" s="133"/>
      <c r="MHI92" s="133"/>
      <c r="MHJ92" s="133"/>
      <c r="MHK92" s="133"/>
      <c r="MHL92" s="133"/>
      <c r="MHM92" s="133"/>
      <c r="MHN92" s="133"/>
      <c r="MHO92" s="133"/>
      <c r="MHP92" s="133"/>
      <c r="MHQ92" s="133"/>
      <c r="MHR92" s="133"/>
      <c r="MHS92" s="133"/>
      <c r="MHT92" s="133"/>
      <c r="MHU92" s="133"/>
      <c r="MHV92" s="133"/>
      <c r="MHW92" s="133"/>
      <c r="MHX92" s="133"/>
      <c r="MHY92" s="133"/>
      <c r="MHZ92" s="133"/>
      <c r="MIA92" s="133"/>
      <c r="MIB92" s="133"/>
      <c r="MIC92" s="133"/>
      <c r="MID92" s="133"/>
      <c r="MIE92" s="133"/>
      <c r="MIF92" s="133"/>
      <c r="MIG92" s="133"/>
      <c r="MIH92" s="133"/>
      <c r="MII92" s="133"/>
      <c r="MIJ92" s="133"/>
      <c r="MIK92" s="133"/>
      <c r="MIL92" s="133"/>
      <c r="MIM92" s="133"/>
      <c r="MIN92" s="133"/>
      <c r="MIO92" s="133"/>
      <c r="MIP92" s="133"/>
      <c r="MIQ92" s="133"/>
      <c r="MIR92" s="133"/>
      <c r="MIS92" s="133"/>
      <c r="MIT92" s="133"/>
      <c r="MIU92" s="133"/>
      <c r="MIV92" s="133"/>
      <c r="MIW92" s="133"/>
      <c r="MIX92" s="133"/>
      <c r="MIY92" s="133"/>
      <c r="MIZ92" s="133"/>
      <c r="MJA92" s="133"/>
      <c r="MJB92" s="133"/>
      <c r="MJC92" s="133"/>
      <c r="MJD92" s="133"/>
      <c r="MJE92" s="133"/>
      <c r="MJF92" s="133"/>
      <c r="MJG92" s="133"/>
      <c r="MJH92" s="133"/>
      <c r="MJI92" s="133"/>
      <c r="MJJ92" s="133"/>
      <c r="MJK92" s="133"/>
      <c r="MJL92" s="133"/>
      <c r="MJM92" s="133"/>
      <c r="MJN92" s="133"/>
      <c r="MJO92" s="133"/>
      <c r="MJP92" s="133"/>
      <c r="MJQ92" s="133"/>
      <c r="MJR92" s="133"/>
      <c r="MJS92" s="133"/>
      <c r="MJT92" s="133"/>
      <c r="MJU92" s="133"/>
      <c r="MJV92" s="133"/>
      <c r="MJW92" s="133"/>
      <c r="MJX92" s="133"/>
      <c r="MJY92" s="133"/>
      <c r="MJZ92" s="133"/>
      <c r="MKA92" s="133"/>
      <c r="MKB92" s="133"/>
      <c r="MKC92" s="133"/>
      <c r="MKD92" s="133"/>
      <c r="MKE92" s="133"/>
      <c r="MKF92" s="133"/>
      <c r="MKG92" s="133"/>
      <c r="MKH92" s="133"/>
      <c r="MKI92" s="133"/>
      <c r="MKJ92" s="133"/>
      <c r="MKK92" s="133"/>
      <c r="MKL92" s="133"/>
      <c r="MKM92" s="133"/>
      <c r="MKN92" s="133"/>
      <c r="MKO92" s="133"/>
      <c r="MKP92" s="133"/>
      <c r="MKQ92" s="133"/>
      <c r="MKR92" s="133"/>
      <c r="MKS92" s="133"/>
      <c r="MKT92" s="133"/>
      <c r="MKU92" s="133"/>
      <c r="MKV92" s="133"/>
      <c r="MKW92" s="133"/>
      <c r="MKX92" s="133"/>
      <c r="MKY92" s="133"/>
      <c r="MKZ92" s="133"/>
      <c r="MLA92" s="133"/>
      <c r="MLB92" s="133"/>
      <c r="MLC92" s="133"/>
      <c r="MLD92" s="133"/>
      <c r="MLE92" s="133"/>
      <c r="MLF92" s="133"/>
      <c r="MLG92" s="133"/>
      <c r="MLH92" s="133"/>
      <c r="MLI92" s="133"/>
      <c r="MLJ92" s="133"/>
      <c r="MLK92" s="133"/>
      <c r="MLL92" s="133"/>
      <c r="MLM92" s="133"/>
      <c r="MLN92" s="133"/>
      <c r="MLO92" s="133"/>
      <c r="MLP92" s="133"/>
      <c r="MLQ92" s="133"/>
      <c r="MLR92" s="133"/>
      <c r="MLS92" s="133"/>
      <c r="MLT92" s="133"/>
      <c r="MLU92" s="133"/>
      <c r="MLV92" s="133"/>
      <c r="MLW92" s="133"/>
      <c r="MLX92" s="133"/>
      <c r="MLY92" s="133"/>
      <c r="MLZ92" s="133"/>
      <c r="MMA92" s="133"/>
      <c r="MMB92" s="133"/>
      <c r="MMC92" s="133"/>
      <c r="MMD92" s="133"/>
      <c r="MME92" s="133"/>
      <c r="MMF92" s="133"/>
      <c r="MMG92" s="133"/>
      <c r="MMH92" s="133"/>
      <c r="MMI92" s="133"/>
      <c r="MMJ92" s="133"/>
      <c r="MMK92" s="133"/>
      <c r="MML92" s="133"/>
      <c r="MMM92" s="133"/>
      <c r="MMN92" s="133"/>
      <c r="MMO92" s="133"/>
      <c r="MMP92" s="133"/>
      <c r="MMQ92" s="133"/>
      <c r="MMR92" s="133"/>
      <c r="MMS92" s="133"/>
      <c r="MMT92" s="133"/>
      <c r="MMU92" s="133"/>
      <c r="MMV92" s="133"/>
      <c r="MMW92" s="133"/>
      <c r="MMX92" s="133"/>
      <c r="MMY92" s="133"/>
      <c r="MMZ92" s="133"/>
      <c r="MNA92" s="133"/>
      <c r="MNB92" s="133"/>
      <c r="MNC92" s="133"/>
      <c r="MND92" s="133"/>
      <c r="MNE92" s="133"/>
      <c r="MNF92" s="133"/>
      <c r="MNG92" s="133"/>
      <c r="MNH92" s="133"/>
      <c r="MNI92" s="133"/>
      <c r="MNJ92" s="133"/>
      <c r="MNK92" s="133"/>
      <c r="MNL92" s="133"/>
      <c r="MNM92" s="133"/>
      <c r="MNN92" s="133"/>
      <c r="MNO92" s="133"/>
      <c r="MNP92" s="133"/>
      <c r="MNQ92" s="133"/>
      <c r="MNR92" s="133"/>
      <c r="MNS92" s="133"/>
      <c r="MNT92" s="133"/>
      <c r="MNU92" s="133"/>
      <c r="MNV92" s="133"/>
      <c r="MNW92" s="133"/>
      <c r="MNX92" s="133"/>
      <c r="MNY92" s="133"/>
      <c r="MNZ92" s="133"/>
      <c r="MOA92" s="133"/>
      <c r="MOB92" s="133"/>
      <c r="MOC92" s="133"/>
      <c r="MOD92" s="133"/>
      <c r="MOE92" s="133"/>
      <c r="MOF92" s="133"/>
      <c r="MOG92" s="133"/>
      <c r="MOH92" s="133"/>
      <c r="MOI92" s="133"/>
      <c r="MOJ92" s="133"/>
      <c r="MOK92" s="133"/>
      <c r="MOL92" s="133"/>
      <c r="MOM92" s="133"/>
      <c r="MON92" s="133"/>
      <c r="MOO92" s="133"/>
      <c r="MOP92" s="133"/>
      <c r="MOQ92" s="133"/>
      <c r="MOR92" s="133"/>
      <c r="MOS92" s="133"/>
      <c r="MOT92" s="133"/>
      <c r="MOU92" s="133"/>
      <c r="MOV92" s="133"/>
      <c r="MOW92" s="133"/>
      <c r="MOX92" s="133"/>
      <c r="MOY92" s="133"/>
      <c r="MOZ92" s="133"/>
      <c r="MPA92" s="133"/>
      <c r="MPB92" s="133"/>
      <c r="MPC92" s="133"/>
      <c r="MPD92" s="133"/>
      <c r="MPE92" s="133"/>
      <c r="MPF92" s="133"/>
      <c r="MPG92" s="133"/>
      <c r="MPH92" s="133"/>
      <c r="MPI92" s="133"/>
      <c r="MPJ92" s="133"/>
      <c r="MPK92" s="133"/>
      <c r="MPL92" s="133"/>
      <c r="MPM92" s="133"/>
      <c r="MPN92" s="133"/>
      <c r="MPO92" s="133"/>
      <c r="MPP92" s="133"/>
      <c r="MPQ92" s="133"/>
      <c r="MPR92" s="133"/>
      <c r="MPS92" s="133"/>
      <c r="MPT92" s="133"/>
      <c r="MPU92" s="133"/>
      <c r="MPV92" s="133"/>
      <c r="MPW92" s="133"/>
      <c r="MPX92" s="133"/>
      <c r="MPY92" s="133"/>
      <c r="MPZ92" s="133"/>
      <c r="MQA92" s="133"/>
      <c r="MQB92" s="133"/>
      <c r="MQC92" s="133"/>
      <c r="MQD92" s="133"/>
      <c r="MQE92" s="133"/>
      <c r="MQF92" s="133"/>
      <c r="MQG92" s="133"/>
      <c r="MQH92" s="133"/>
      <c r="MQI92" s="133"/>
      <c r="MQJ92" s="133"/>
      <c r="MQK92" s="133"/>
      <c r="MQL92" s="133"/>
      <c r="MQM92" s="133"/>
      <c r="MQN92" s="133"/>
      <c r="MQO92" s="133"/>
      <c r="MQP92" s="133"/>
      <c r="MQQ92" s="133"/>
      <c r="MQR92" s="133"/>
      <c r="MQS92" s="133"/>
      <c r="MQT92" s="133"/>
      <c r="MQU92" s="133"/>
      <c r="MQV92" s="133"/>
      <c r="MQW92" s="133"/>
      <c r="MQX92" s="133"/>
      <c r="MQY92" s="133"/>
      <c r="MQZ92" s="133"/>
      <c r="MRA92" s="133"/>
      <c r="MRB92" s="133"/>
      <c r="MRC92" s="133"/>
      <c r="MRD92" s="133"/>
      <c r="MRE92" s="133"/>
      <c r="MRF92" s="133"/>
      <c r="MRG92" s="133"/>
      <c r="MRH92" s="133"/>
      <c r="MRI92" s="133"/>
      <c r="MRJ92" s="133"/>
      <c r="MRK92" s="133"/>
      <c r="MRL92" s="133"/>
      <c r="MRM92" s="133"/>
      <c r="MRN92" s="133"/>
      <c r="MRO92" s="133"/>
      <c r="MRP92" s="133"/>
      <c r="MRQ92" s="133"/>
      <c r="MRR92" s="133"/>
      <c r="MRS92" s="133"/>
      <c r="MRT92" s="133"/>
      <c r="MRU92" s="133"/>
      <c r="MRV92" s="133"/>
      <c r="MRW92" s="133"/>
      <c r="MRX92" s="133"/>
      <c r="MRY92" s="133"/>
      <c r="MRZ92" s="133"/>
      <c r="MSA92" s="133"/>
      <c r="MSB92" s="133"/>
      <c r="MSC92" s="133"/>
      <c r="MSD92" s="133"/>
      <c r="MSE92" s="133"/>
      <c r="MSF92" s="133"/>
      <c r="MSG92" s="133"/>
      <c r="MSH92" s="133"/>
      <c r="MSI92" s="133"/>
      <c r="MSJ92" s="133"/>
      <c r="MSK92" s="133"/>
      <c r="MSL92" s="133"/>
      <c r="MSM92" s="133"/>
      <c r="MSN92" s="133"/>
      <c r="MSO92" s="133"/>
      <c r="MSP92" s="133"/>
      <c r="MSQ92" s="133"/>
      <c r="MSR92" s="133"/>
      <c r="MSS92" s="133"/>
      <c r="MST92" s="133"/>
      <c r="MSU92" s="133"/>
      <c r="MSV92" s="133"/>
      <c r="MSW92" s="133"/>
      <c r="MSX92" s="133"/>
      <c r="MSY92" s="133"/>
      <c r="MSZ92" s="133"/>
      <c r="MTA92" s="133"/>
      <c r="MTB92" s="133"/>
      <c r="MTC92" s="133"/>
      <c r="MTD92" s="133"/>
      <c r="MTE92" s="133"/>
      <c r="MTF92" s="133"/>
      <c r="MTG92" s="133"/>
      <c r="MTH92" s="133"/>
      <c r="MTI92" s="133"/>
      <c r="MTJ92" s="133"/>
      <c r="MTK92" s="133"/>
      <c r="MTL92" s="133"/>
      <c r="MTM92" s="133"/>
      <c r="MTN92" s="133"/>
      <c r="MTO92" s="133"/>
      <c r="MTP92" s="133"/>
      <c r="MTQ92" s="133"/>
      <c r="MTR92" s="133"/>
      <c r="MTS92" s="133"/>
      <c r="MTT92" s="133"/>
      <c r="MTU92" s="133"/>
      <c r="MTV92" s="133"/>
      <c r="MTW92" s="133"/>
      <c r="MTX92" s="133"/>
      <c r="MTY92" s="133"/>
      <c r="MTZ92" s="133"/>
      <c r="MUA92" s="133"/>
      <c r="MUB92" s="133"/>
      <c r="MUC92" s="133"/>
      <c r="MUD92" s="133"/>
      <c r="MUE92" s="133"/>
      <c r="MUF92" s="133"/>
      <c r="MUG92" s="133"/>
      <c r="MUH92" s="133"/>
      <c r="MUI92" s="133"/>
      <c r="MUJ92" s="133"/>
      <c r="MUK92" s="133"/>
      <c r="MUL92" s="133"/>
      <c r="MUM92" s="133"/>
      <c r="MUN92" s="133"/>
      <c r="MUO92" s="133"/>
      <c r="MUP92" s="133"/>
      <c r="MUQ92" s="133"/>
      <c r="MUR92" s="133"/>
      <c r="MUS92" s="133"/>
      <c r="MUT92" s="133"/>
      <c r="MUU92" s="133"/>
      <c r="MUV92" s="133"/>
      <c r="MUW92" s="133"/>
      <c r="MUX92" s="133"/>
      <c r="MUY92" s="133"/>
      <c r="MUZ92" s="133"/>
      <c r="MVA92" s="133"/>
      <c r="MVB92" s="133"/>
      <c r="MVC92" s="133"/>
      <c r="MVD92" s="133"/>
      <c r="MVE92" s="133"/>
      <c r="MVF92" s="133"/>
      <c r="MVG92" s="133"/>
      <c r="MVH92" s="133"/>
      <c r="MVI92" s="133"/>
      <c r="MVJ92" s="133"/>
      <c r="MVK92" s="133"/>
      <c r="MVL92" s="133"/>
      <c r="MVM92" s="133"/>
      <c r="MVN92" s="133"/>
      <c r="MVO92" s="133"/>
      <c r="MVP92" s="133"/>
      <c r="MVQ92" s="133"/>
      <c r="MVR92" s="133"/>
      <c r="MVS92" s="133"/>
      <c r="MVT92" s="133"/>
      <c r="MVU92" s="133"/>
      <c r="MVV92" s="133"/>
      <c r="MVW92" s="133"/>
      <c r="MVX92" s="133"/>
      <c r="MVY92" s="133"/>
      <c r="MVZ92" s="133"/>
      <c r="MWA92" s="133"/>
      <c r="MWB92" s="133"/>
      <c r="MWC92" s="133"/>
      <c r="MWD92" s="133"/>
      <c r="MWE92" s="133"/>
      <c r="MWF92" s="133"/>
      <c r="MWG92" s="133"/>
      <c r="MWH92" s="133"/>
      <c r="MWI92" s="133"/>
      <c r="MWJ92" s="133"/>
      <c r="MWK92" s="133"/>
      <c r="MWL92" s="133"/>
      <c r="MWM92" s="133"/>
      <c r="MWN92" s="133"/>
      <c r="MWO92" s="133"/>
      <c r="MWP92" s="133"/>
      <c r="MWQ92" s="133"/>
      <c r="MWR92" s="133"/>
      <c r="MWS92" s="133"/>
      <c r="MWT92" s="133"/>
      <c r="MWU92" s="133"/>
      <c r="MWV92" s="133"/>
      <c r="MWW92" s="133"/>
      <c r="MWX92" s="133"/>
      <c r="MWY92" s="133"/>
      <c r="MWZ92" s="133"/>
      <c r="MXA92" s="133"/>
      <c r="MXB92" s="133"/>
      <c r="MXC92" s="133"/>
      <c r="MXD92" s="133"/>
      <c r="MXE92" s="133"/>
      <c r="MXF92" s="133"/>
      <c r="MXG92" s="133"/>
      <c r="MXH92" s="133"/>
      <c r="MXI92" s="133"/>
      <c r="MXJ92" s="133"/>
      <c r="MXK92" s="133"/>
      <c r="MXL92" s="133"/>
      <c r="MXM92" s="133"/>
      <c r="MXN92" s="133"/>
      <c r="MXO92" s="133"/>
      <c r="MXP92" s="133"/>
      <c r="MXQ92" s="133"/>
      <c r="MXR92" s="133"/>
      <c r="MXS92" s="133"/>
      <c r="MXT92" s="133"/>
      <c r="MXU92" s="133"/>
      <c r="MXV92" s="133"/>
      <c r="MXW92" s="133"/>
      <c r="MXX92" s="133"/>
      <c r="MXY92" s="133"/>
      <c r="MXZ92" s="133"/>
      <c r="MYA92" s="133"/>
      <c r="MYB92" s="133"/>
      <c r="MYC92" s="133"/>
      <c r="MYD92" s="133"/>
      <c r="MYE92" s="133"/>
      <c r="MYF92" s="133"/>
      <c r="MYG92" s="133"/>
      <c r="MYH92" s="133"/>
      <c r="MYI92" s="133"/>
      <c r="MYJ92" s="133"/>
      <c r="MYK92" s="133"/>
      <c r="MYL92" s="133"/>
      <c r="MYM92" s="133"/>
      <c r="MYN92" s="133"/>
      <c r="MYO92" s="133"/>
      <c r="MYP92" s="133"/>
      <c r="MYQ92" s="133"/>
      <c r="MYR92" s="133"/>
      <c r="MYS92" s="133"/>
      <c r="MYT92" s="133"/>
      <c r="MYU92" s="133"/>
      <c r="MYV92" s="133"/>
      <c r="MYW92" s="133"/>
      <c r="MYX92" s="133"/>
      <c r="MYY92" s="133"/>
      <c r="MYZ92" s="133"/>
      <c r="MZA92" s="133"/>
      <c r="MZB92" s="133"/>
      <c r="MZC92" s="133"/>
      <c r="MZD92" s="133"/>
      <c r="MZE92" s="133"/>
      <c r="MZF92" s="133"/>
      <c r="MZG92" s="133"/>
      <c r="MZH92" s="133"/>
      <c r="MZI92" s="133"/>
      <c r="MZJ92" s="133"/>
      <c r="MZK92" s="133"/>
      <c r="MZL92" s="133"/>
      <c r="MZM92" s="133"/>
      <c r="MZN92" s="133"/>
      <c r="MZO92" s="133"/>
      <c r="MZP92" s="133"/>
      <c r="MZQ92" s="133"/>
      <c r="MZR92" s="133"/>
      <c r="MZS92" s="133"/>
      <c r="MZT92" s="133"/>
      <c r="MZU92" s="133"/>
      <c r="MZV92" s="133"/>
      <c r="MZW92" s="133"/>
      <c r="MZX92" s="133"/>
      <c r="MZY92" s="133"/>
      <c r="MZZ92" s="133"/>
      <c r="NAA92" s="133"/>
      <c r="NAB92" s="133"/>
      <c r="NAC92" s="133"/>
      <c r="NAD92" s="133"/>
      <c r="NAE92" s="133"/>
      <c r="NAF92" s="133"/>
      <c r="NAG92" s="133"/>
      <c r="NAH92" s="133"/>
      <c r="NAI92" s="133"/>
      <c r="NAJ92" s="133"/>
      <c r="NAK92" s="133"/>
      <c r="NAL92" s="133"/>
      <c r="NAM92" s="133"/>
      <c r="NAN92" s="133"/>
      <c r="NAO92" s="133"/>
      <c r="NAP92" s="133"/>
      <c r="NAQ92" s="133"/>
      <c r="NAR92" s="133"/>
      <c r="NAS92" s="133"/>
      <c r="NAT92" s="133"/>
      <c r="NAU92" s="133"/>
      <c r="NAV92" s="133"/>
      <c r="NAW92" s="133"/>
      <c r="NAX92" s="133"/>
      <c r="NAY92" s="133"/>
      <c r="NAZ92" s="133"/>
      <c r="NBA92" s="133"/>
      <c r="NBB92" s="133"/>
      <c r="NBC92" s="133"/>
      <c r="NBD92" s="133"/>
      <c r="NBE92" s="133"/>
      <c r="NBF92" s="133"/>
      <c r="NBG92" s="133"/>
      <c r="NBH92" s="133"/>
      <c r="NBI92" s="133"/>
      <c r="NBJ92" s="133"/>
      <c r="NBK92" s="133"/>
      <c r="NBL92" s="133"/>
      <c r="NBM92" s="133"/>
      <c r="NBN92" s="133"/>
      <c r="NBO92" s="133"/>
      <c r="NBP92" s="133"/>
      <c r="NBQ92" s="133"/>
      <c r="NBR92" s="133"/>
      <c r="NBS92" s="133"/>
      <c r="NBT92" s="133"/>
      <c r="NBU92" s="133"/>
      <c r="NBV92" s="133"/>
      <c r="NBW92" s="133"/>
      <c r="NBX92" s="133"/>
      <c r="NBY92" s="133"/>
      <c r="NBZ92" s="133"/>
      <c r="NCA92" s="133"/>
      <c r="NCB92" s="133"/>
      <c r="NCC92" s="133"/>
      <c r="NCD92" s="133"/>
      <c r="NCE92" s="133"/>
      <c r="NCF92" s="133"/>
      <c r="NCG92" s="133"/>
      <c r="NCH92" s="133"/>
      <c r="NCI92" s="133"/>
      <c r="NCJ92" s="133"/>
      <c r="NCK92" s="133"/>
      <c r="NCL92" s="133"/>
      <c r="NCM92" s="133"/>
      <c r="NCN92" s="133"/>
      <c r="NCO92" s="133"/>
      <c r="NCP92" s="133"/>
      <c r="NCQ92" s="133"/>
      <c r="NCR92" s="133"/>
      <c r="NCS92" s="133"/>
      <c r="NCT92" s="133"/>
      <c r="NCU92" s="133"/>
      <c r="NCV92" s="133"/>
      <c r="NCW92" s="133"/>
      <c r="NCX92" s="133"/>
      <c r="NCY92" s="133"/>
      <c r="NCZ92" s="133"/>
      <c r="NDA92" s="133"/>
      <c r="NDB92" s="133"/>
      <c r="NDC92" s="133"/>
      <c r="NDD92" s="133"/>
      <c r="NDE92" s="133"/>
      <c r="NDF92" s="133"/>
      <c r="NDG92" s="133"/>
      <c r="NDH92" s="133"/>
      <c r="NDI92" s="133"/>
      <c r="NDJ92" s="133"/>
      <c r="NDK92" s="133"/>
      <c r="NDL92" s="133"/>
      <c r="NDM92" s="133"/>
      <c r="NDN92" s="133"/>
      <c r="NDO92" s="133"/>
      <c r="NDP92" s="133"/>
      <c r="NDQ92" s="133"/>
      <c r="NDR92" s="133"/>
      <c r="NDS92" s="133"/>
      <c r="NDT92" s="133"/>
      <c r="NDU92" s="133"/>
      <c r="NDV92" s="133"/>
      <c r="NDW92" s="133"/>
      <c r="NDX92" s="133"/>
      <c r="NDY92" s="133"/>
      <c r="NDZ92" s="133"/>
      <c r="NEA92" s="133"/>
      <c r="NEB92" s="133"/>
      <c r="NEC92" s="133"/>
      <c r="NED92" s="133"/>
      <c r="NEE92" s="133"/>
      <c r="NEF92" s="133"/>
      <c r="NEG92" s="133"/>
      <c r="NEH92" s="133"/>
      <c r="NEI92" s="133"/>
      <c r="NEJ92" s="133"/>
      <c r="NEK92" s="133"/>
      <c r="NEL92" s="133"/>
      <c r="NEM92" s="133"/>
      <c r="NEN92" s="133"/>
      <c r="NEO92" s="133"/>
      <c r="NEP92" s="133"/>
      <c r="NEQ92" s="133"/>
      <c r="NER92" s="133"/>
      <c r="NES92" s="133"/>
      <c r="NET92" s="133"/>
      <c r="NEU92" s="133"/>
      <c r="NEV92" s="133"/>
      <c r="NEW92" s="133"/>
      <c r="NEX92" s="133"/>
      <c r="NEY92" s="133"/>
      <c r="NEZ92" s="133"/>
      <c r="NFA92" s="133"/>
      <c r="NFB92" s="133"/>
      <c r="NFC92" s="133"/>
      <c r="NFD92" s="133"/>
      <c r="NFE92" s="133"/>
      <c r="NFF92" s="133"/>
      <c r="NFG92" s="133"/>
      <c r="NFH92" s="133"/>
      <c r="NFI92" s="133"/>
      <c r="NFJ92" s="133"/>
      <c r="NFK92" s="133"/>
      <c r="NFL92" s="133"/>
      <c r="NFM92" s="133"/>
      <c r="NFN92" s="133"/>
      <c r="NFO92" s="133"/>
      <c r="NFP92" s="133"/>
      <c r="NFQ92" s="133"/>
      <c r="NFR92" s="133"/>
      <c r="NFS92" s="133"/>
      <c r="NFT92" s="133"/>
      <c r="NFU92" s="133"/>
      <c r="NFV92" s="133"/>
      <c r="NFW92" s="133"/>
      <c r="NFX92" s="133"/>
      <c r="NFY92" s="133"/>
      <c r="NFZ92" s="133"/>
      <c r="NGA92" s="133"/>
      <c r="NGB92" s="133"/>
      <c r="NGC92" s="133"/>
      <c r="NGD92" s="133"/>
      <c r="NGE92" s="133"/>
      <c r="NGF92" s="133"/>
      <c r="NGG92" s="133"/>
      <c r="NGH92" s="133"/>
      <c r="NGI92" s="133"/>
      <c r="NGJ92" s="133"/>
      <c r="NGK92" s="133"/>
      <c r="NGL92" s="133"/>
      <c r="NGM92" s="133"/>
      <c r="NGN92" s="133"/>
      <c r="NGO92" s="133"/>
      <c r="NGP92" s="133"/>
      <c r="NGQ92" s="133"/>
      <c r="NGR92" s="133"/>
      <c r="NGS92" s="133"/>
      <c r="NGT92" s="133"/>
      <c r="NGU92" s="133"/>
      <c r="NGV92" s="133"/>
      <c r="NGW92" s="133"/>
      <c r="NGX92" s="133"/>
      <c r="NGY92" s="133"/>
      <c r="NGZ92" s="133"/>
      <c r="NHA92" s="133"/>
      <c r="NHB92" s="133"/>
      <c r="NHC92" s="133"/>
      <c r="NHD92" s="133"/>
      <c r="NHE92" s="133"/>
      <c r="NHF92" s="133"/>
      <c r="NHG92" s="133"/>
      <c r="NHH92" s="133"/>
      <c r="NHI92" s="133"/>
      <c r="NHJ92" s="133"/>
      <c r="NHK92" s="133"/>
      <c r="NHL92" s="133"/>
      <c r="NHM92" s="133"/>
      <c r="NHN92" s="133"/>
      <c r="NHO92" s="133"/>
      <c r="NHP92" s="133"/>
      <c r="NHQ92" s="133"/>
      <c r="NHR92" s="133"/>
      <c r="NHS92" s="133"/>
      <c r="NHT92" s="133"/>
      <c r="NHU92" s="133"/>
      <c r="NHV92" s="133"/>
      <c r="NHW92" s="133"/>
      <c r="NHX92" s="133"/>
      <c r="NHY92" s="133"/>
      <c r="NHZ92" s="133"/>
      <c r="NIA92" s="133"/>
      <c r="NIB92" s="133"/>
      <c r="NIC92" s="133"/>
      <c r="NID92" s="133"/>
      <c r="NIE92" s="133"/>
      <c r="NIF92" s="133"/>
      <c r="NIG92" s="133"/>
      <c r="NIH92" s="133"/>
      <c r="NII92" s="133"/>
      <c r="NIJ92" s="133"/>
      <c r="NIK92" s="133"/>
      <c r="NIL92" s="133"/>
      <c r="NIM92" s="133"/>
      <c r="NIN92" s="133"/>
      <c r="NIO92" s="133"/>
      <c r="NIP92" s="133"/>
      <c r="NIQ92" s="133"/>
      <c r="NIR92" s="133"/>
      <c r="NIS92" s="133"/>
      <c r="NIT92" s="133"/>
      <c r="NIU92" s="133"/>
      <c r="NIV92" s="133"/>
      <c r="NIW92" s="133"/>
      <c r="NIX92" s="133"/>
      <c r="NIY92" s="133"/>
      <c r="NIZ92" s="133"/>
      <c r="NJA92" s="133"/>
      <c r="NJB92" s="133"/>
      <c r="NJC92" s="133"/>
      <c r="NJD92" s="133"/>
      <c r="NJE92" s="133"/>
      <c r="NJF92" s="133"/>
      <c r="NJG92" s="133"/>
      <c r="NJH92" s="133"/>
      <c r="NJI92" s="133"/>
      <c r="NJJ92" s="133"/>
      <c r="NJK92" s="133"/>
      <c r="NJL92" s="133"/>
      <c r="NJM92" s="133"/>
      <c r="NJN92" s="133"/>
      <c r="NJO92" s="133"/>
      <c r="NJP92" s="133"/>
      <c r="NJQ92" s="133"/>
      <c r="NJR92" s="133"/>
      <c r="NJS92" s="133"/>
      <c r="NJT92" s="133"/>
      <c r="NJU92" s="133"/>
      <c r="NJV92" s="133"/>
      <c r="NJW92" s="133"/>
      <c r="NJX92" s="133"/>
      <c r="NJY92" s="133"/>
      <c r="NJZ92" s="133"/>
      <c r="NKA92" s="133"/>
      <c r="NKB92" s="133"/>
      <c r="NKC92" s="133"/>
      <c r="NKD92" s="133"/>
      <c r="NKE92" s="133"/>
      <c r="NKF92" s="133"/>
      <c r="NKG92" s="133"/>
      <c r="NKH92" s="133"/>
      <c r="NKI92" s="133"/>
      <c r="NKJ92" s="133"/>
      <c r="NKK92" s="133"/>
      <c r="NKL92" s="133"/>
      <c r="NKM92" s="133"/>
      <c r="NKN92" s="133"/>
      <c r="NKO92" s="133"/>
      <c r="NKP92" s="133"/>
      <c r="NKQ92" s="133"/>
      <c r="NKR92" s="133"/>
      <c r="NKS92" s="133"/>
      <c r="NKT92" s="133"/>
      <c r="NKU92" s="133"/>
      <c r="NKV92" s="133"/>
      <c r="NKW92" s="133"/>
      <c r="NKX92" s="133"/>
      <c r="NKY92" s="133"/>
      <c r="NKZ92" s="133"/>
      <c r="NLA92" s="133"/>
      <c r="NLB92" s="133"/>
      <c r="NLC92" s="133"/>
      <c r="NLD92" s="133"/>
      <c r="NLE92" s="133"/>
      <c r="NLF92" s="133"/>
      <c r="NLG92" s="133"/>
      <c r="NLH92" s="133"/>
      <c r="NLI92" s="133"/>
      <c r="NLJ92" s="133"/>
      <c r="NLK92" s="133"/>
      <c r="NLL92" s="133"/>
      <c r="NLM92" s="133"/>
      <c r="NLN92" s="133"/>
      <c r="NLO92" s="133"/>
      <c r="NLP92" s="133"/>
      <c r="NLQ92" s="133"/>
      <c r="NLR92" s="133"/>
      <c r="NLS92" s="133"/>
      <c r="NLT92" s="133"/>
      <c r="NLU92" s="133"/>
      <c r="NLV92" s="133"/>
      <c r="NLW92" s="133"/>
      <c r="NLX92" s="133"/>
      <c r="NLY92" s="133"/>
      <c r="NLZ92" s="133"/>
      <c r="NMA92" s="133"/>
      <c r="NMB92" s="133"/>
      <c r="NMC92" s="133"/>
      <c r="NMD92" s="133"/>
      <c r="NME92" s="133"/>
      <c r="NMF92" s="133"/>
      <c r="NMG92" s="133"/>
      <c r="NMH92" s="133"/>
      <c r="NMI92" s="133"/>
      <c r="NMJ92" s="133"/>
      <c r="NMK92" s="133"/>
      <c r="NML92" s="133"/>
      <c r="NMM92" s="133"/>
      <c r="NMN92" s="133"/>
      <c r="NMO92" s="133"/>
      <c r="NMP92" s="133"/>
      <c r="NMQ92" s="133"/>
      <c r="NMR92" s="133"/>
      <c r="NMS92" s="133"/>
      <c r="NMT92" s="133"/>
      <c r="NMU92" s="133"/>
      <c r="NMV92" s="133"/>
      <c r="NMW92" s="133"/>
      <c r="NMX92" s="133"/>
      <c r="NMY92" s="133"/>
      <c r="NMZ92" s="133"/>
      <c r="NNA92" s="133"/>
      <c r="NNB92" s="133"/>
      <c r="NNC92" s="133"/>
      <c r="NND92" s="133"/>
      <c r="NNE92" s="133"/>
      <c r="NNF92" s="133"/>
      <c r="NNG92" s="133"/>
      <c r="NNH92" s="133"/>
      <c r="NNI92" s="133"/>
      <c r="NNJ92" s="133"/>
      <c r="NNK92" s="133"/>
      <c r="NNL92" s="133"/>
      <c r="NNM92" s="133"/>
      <c r="NNN92" s="133"/>
      <c r="NNO92" s="133"/>
      <c r="NNP92" s="133"/>
      <c r="NNQ92" s="133"/>
      <c r="NNR92" s="133"/>
      <c r="NNS92" s="133"/>
      <c r="NNT92" s="133"/>
      <c r="NNU92" s="133"/>
      <c r="NNV92" s="133"/>
      <c r="NNW92" s="133"/>
      <c r="NNX92" s="133"/>
      <c r="NNY92" s="133"/>
      <c r="NNZ92" s="133"/>
      <c r="NOA92" s="133"/>
      <c r="NOB92" s="133"/>
      <c r="NOC92" s="133"/>
      <c r="NOD92" s="133"/>
      <c r="NOE92" s="133"/>
      <c r="NOF92" s="133"/>
      <c r="NOG92" s="133"/>
      <c r="NOH92" s="133"/>
      <c r="NOI92" s="133"/>
      <c r="NOJ92" s="133"/>
      <c r="NOK92" s="133"/>
      <c r="NOL92" s="133"/>
      <c r="NOM92" s="133"/>
      <c r="NON92" s="133"/>
      <c r="NOO92" s="133"/>
      <c r="NOP92" s="133"/>
      <c r="NOQ92" s="133"/>
      <c r="NOR92" s="133"/>
      <c r="NOS92" s="133"/>
      <c r="NOT92" s="133"/>
      <c r="NOU92" s="133"/>
      <c r="NOV92" s="133"/>
      <c r="NOW92" s="133"/>
      <c r="NOX92" s="133"/>
      <c r="NOY92" s="133"/>
      <c r="NOZ92" s="133"/>
      <c r="NPA92" s="133"/>
      <c r="NPB92" s="133"/>
      <c r="NPC92" s="133"/>
      <c r="NPD92" s="133"/>
      <c r="NPE92" s="133"/>
      <c r="NPF92" s="133"/>
      <c r="NPG92" s="133"/>
      <c r="NPH92" s="133"/>
      <c r="NPI92" s="133"/>
      <c r="NPJ92" s="133"/>
      <c r="NPK92" s="133"/>
      <c r="NPL92" s="133"/>
      <c r="NPM92" s="133"/>
      <c r="NPN92" s="133"/>
      <c r="NPO92" s="133"/>
      <c r="NPP92" s="133"/>
      <c r="NPQ92" s="133"/>
      <c r="NPR92" s="133"/>
      <c r="NPS92" s="133"/>
      <c r="NPT92" s="133"/>
      <c r="NPU92" s="133"/>
      <c r="NPV92" s="133"/>
      <c r="NPW92" s="133"/>
      <c r="NPX92" s="133"/>
      <c r="NPY92" s="133"/>
      <c r="NPZ92" s="133"/>
      <c r="NQA92" s="133"/>
      <c r="NQB92" s="133"/>
      <c r="NQC92" s="133"/>
      <c r="NQD92" s="133"/>
      <c r="NQE92" s="133"/>
      <c r="NQF92" s="133"/>
      <c r="NQG92" s="133"/>
      <c r="NQH92" s="133"/>
      <c r="NQI92" s="133"/>
      <c r="NQJ92" s="133"/>
      <c r="NQK92" s="133"/>
      <c r="NQL92" s="133"/>
      <c r="NQM92" s="133"/>
      <c r="NQN92" s="133"/>
      <c r="NQO92" s="133"/>
      <c r="NQP92" s="133"/>
      <c r="NQQ92" s="133"/>
      <c r="NQR92" s="133"/>
      <c r="NQS92" s="133"/>
      <c r="NQT92" s="133"/>
      <c r="NQU92" s="133"/>
      <c r="NQV92" s="133"/>
      <c r="NQW92" s="133"/>
      <c r="NQX92" s="133"/>
      <c r="NQY92" s="133"/>
      <c r="NQZ92" s="133"/>
      <c r="NRA92" s="133"/>
      <c r="NRB92" s="133"/>
      <c r="NRC92" s="133"/>
      <c r="NRD92" s="133"/>
      <c r="NRE92" s="133"/>
      <c r="NRF92" s="133"/>
      <c r="NRG92" s="133"/>
      <c r="NRH92" s="133"/>
      <c r="NRI92" s="133"/>
      <c r="NRJ92" s="133"/>
      <c r="NRK92" s="133"/>
      <c r="NRL92" s="133"/>
      <c r="NRM92" s="133"/>
      <c r="NRN92" s="133"/>
      <c r="NRO92" s="133"/>
      <c r="NRP92" s="133"/>
      <c r="NRQ92" s="133"/>
      <c r="NRR92" s="133"/>
      <c r="NRS92" s="133"/>
      <c r="NRT92" s="133"/>
      <c r="NRU92" s="133"/>
      <c r="NRV92" s="133"/>
      <c r="NRW92" s="133"/>
      <c r="NRX92" s="133"/>
      <c r="NRY92" s="133"/>
      <c r="NRZ92" s="133"/>
      <c r="NSA92" s="133"/>
      <c r="NSB92" s="133"/>
      <c r="NSC92" s="133"/>
      <c r="NSD92" s="133"/>
      <c r="NSE92" s="133"/>
      <c r="NSF92" s="133"/>
      <c r="NSG92" s="133"/>
      <c r="NSH92" s="133"/>
      <c r="NSI92" s="133"/>
      <c r="NSJ92" s="133"/>
      <c r="NSK92" s="133"/>
      <c r="NSL92" s="133"/>
      <c r="NSM92" s="133"/>
      <c r="NSN92" s="133"/>
      <c r="NSO92" s="133"/>
      <c r="NSP92" s="133"/>
      <c r="NSQ92" s="133"/>
      <c r="NSR92" s="133"/>
      <c r="NSS92" s="133"/>
      <c r="NST92" s="133"/>
      <c r="NSU92" s="133"/>
      <c r="NSV92" s="133"/>
      <c r="NSW92" s="133"/>
      <c r="NSX92" s="133"/>
      <c r="NSY92" s="133"/>
      <c r="NSZ92" s="133"/>
      <c r="NTA92" s="133"/>
      <c r="NTB92" s="133"/>
      <c r="NTC92" s="133"/>
      <c r="NTD92" s="133"/>
      <c r="NTE92" s="133"/>
      <c r="NTF92" s="133"/>
      <c r="NTG92" s="133"/>
      <c r="NTH92" s="133"/>
      <c r="NTI92" s="133"/>
      <c r="NTJ92" s="133"/>
      <c r="NTK92" s="133"/>
      <c r="NTL92" s="133"/>
      <c r="NTM92" s="133"/>
      <c r="NTN92" s="133"/>
      <c r="NTO92" s="133"/>
      <c r="NTP92" s="133"/>
      <c r="NTQ92" s="133"/>
      <c r="NTR92" s="133"/>
      <c r="NTS92" s="133"/>
      <c r="NTT92" s="133"/>
      <c r="NTU92" s="133"/>
      <c r="NTV92" s="133"/>
      <c r="NTW92" s="133"/>
      <c r="NTX92" s="133"/>
      <c r="NTY92" s="133"/>
      <c r="NTZ92" s="133"/>
      <c r="NUA92" s="133"/>
      <c r="NUB92" s="133"/>
      <c r="NUC92" s="133"/>
      <c r="NUD92" s="133"/>
      <c r="NUE92" s="133"/>
      <c r="NUF92" s="133"/>
      <c r="NUG92" s="133"/>
      <c r="NUH92" s="133"/>
      <c r="NUI92" s="133"/>
      <c r="NUJ92" s="133"/>
      <c r="NUK92" s="133"/>
      <c r="NUL92" s="133"/>
      <c r="NUM92" s="133"/>
      <c r="NUN92" s="133"/>
      <c r="NUO92" s="133"/>
      <c r="NUP92" s="133"/>
      <c r="NUQ92" s="133"/>
      <c r="NUR92" s="133"/>
      <c r="NUS92" s="133"/>
      <c r="NUT92" s="133"/>
      <c r="NUU92" s="133"/>
      <c r="NUV92" s="133"/>
      <c r="NUW92" s="133"/>
      <c r="NUX92" s="133"/>
      <c r="NUY92" s="133"/>
      <c r="NUZ92" s="133"/>
      <c r="NVA92" s="133"/>
      <c r="NVB92" s="133"/>
      <c r="NVC92" s="133"/>
      <c r="NVD92" s="133"/>
      <c r="NVE92" s="133"/>
      <c r="NVF92" s="133"/>
      <c r="NVG92" s="133"/>
      <c r="NVH92" s="133"/>
      <c r="NVI92" s="133"/>
      <c r="NVJ92" s="133"/>
      <c r="NVK92" s="133"/>
      <c r="NVL92" s="133"/>
      <c r="NVM92" s="133"/>
      <c r="NVN92" s="133"/>
      <c r="NVO92" s="133"/>
      <c r="NVP92" s="133"/>
      <c r="NVQ92" s="133"/>
      <c r="NVR92" s="133"/>
      <c r="NVS92" s="133"/>
      <c r="NVT92" s="133"/>
      <c r="NVU92" s="133"/>
      <c r="NVV92" s="133"/>
      <c r="NVW92" s="133"/>
      <c r="NVX92" s="133"/>
      <c r="NVY92" s="133"/>
      <c r="NVZ92" s="133"/>
      <c r="NWA92" s="133"/>
      <c r="NWB92" s="133"/>
      <c r="NWC92" s="133"/>
      <c r="NWD92" s="133"/>
      <c r="NWE92" s="133"/>
      <c r="NWF92" s="133"/>
      <c r="NWG92" s="133"/>
      <c r="NWH92" s="133"/>
      <c r="NWI92" s="133"/>
      <c r="NWJ92" s="133"/>
      <c r="NWK92" s="133"/>
      <c r="NWL92" s="133"/>
      <c r="NWM92" s="133"/>
      <c r="NWN92" s="133"/>
      <c r="NWO92" s="133"/>
      <c r="NWP92" s="133"/>
      <c r="NWQ92" s="133"/>
      <c r="NWR92" s="133"/>
      <c r="NWS92" s="133"/>
      <c r="NWT92" s="133"/>
      <c r="NWU92" s="133"/>
      <c r="NWV92" s="133"/>
      <c r="NWW92" s="133"/>
      <c r="NWX92" s="133"/>
      <c r="NWY92" s="133"/>
      <c r="NWZ92" s="133"/>
      <c r="NXA92" s="133"/>
      <c r="NXB92" s="133"/>
      <c r="NXC92" s="133"/>
      <c r="NXD92" s="133"/>
      <c r="NXE92" s="133"/>
      <c r="NXF92" s="133"/>
      <c r="NXG92" s="133"/>
      <c r="NXH92" s="133"/>
      <c r="NXI92" s="133"/>
      <c r="NXJ92" s="133"/>
      <c r="NXK92" s="133"/>
      <c r="NXL92" s="133"/>
      <c r="NXM92" s="133"/>
      <c r="NXN92" s="133"/>
      <c r="NXO92" s="133"/>
      <c r="NXP92" s="133"/>
      <c r="NXQ92" s="133"/>
      <c r="NXR92" s="133"/>
      <c r="NXS92" s="133"/>
      <c r="NXT92" s="133"/>
      <c r="NXU92" s="133"/>
      <c r="NXV92" s="133"/>
      <c r="NXW92" s="133"/>
      <c r="NXX92" s="133"/>
      <c r="NXY92" s="133"/>
      <c r="NXZ92" s="133"/>
      <c r="NYA92" s="133"/>
      <c r="NYB92" s="133"/>
      <c r="NYC92" s="133"/>
      <c r="NYD92" s="133"/>
      <c r="NYE92" s="133"/>
      <c r="NYF92" s="133"/>
      <c r="NYG92" s="133"/>
      <c r="NYH92" s="133"/>
      <c r="NYI92" s="133"/>
      <c r="NYJ92" s="133"/>
      <c r="NYK92" s="133"/>
      <c r="NYL92" s="133"/>
      <c r="NYM92" s="133"/>
      <c r="NYN92" s="133"/>
      <c r="NYO92" s="133"/>
      <c r="NYP92" s="133"/>
      <c r="NYQ92" s="133"/>
      <c r="NYR92" s="133"/>
      <c r="NYS92" s="133"/>
      <c r="NYT92" s="133"/>
      <c r="NYU92" s="133"/>
      <c r="NYV92" s="133"/>
      <c r="NYW92" s="133"/>
      <c r="NYX92" s="133"/>
      <c r="NYY92" s="133"/>
      <c r="NYZ92" s="133"/>
      <c r="NZA92" s="133"/>
      <c r="NZB92" s="133"/>
      <c r="NZC92" s="133"/>
      <c r="NZD92" s="133"/>
      <c r="NZE92" s="133"/>
      <c r="NZF92" s="133"/>
      <c r="NZG92" s="133"/>
      <c r="NZH92" s="133"/>
      <c r="NZI92" s="133"/>
      <c r="NZJ92" s="133"/>
      <c r="NZK92" s="133"/>
      <c r="NZL92" s="133"/>
      <c r="NZM92" s="133"/>
      <c r="NZN92" s="133"/>
      <c r="NZO92" s="133"/>
      <c r="NZP92" s="133"/>
      <c r="NZQ92" s="133"/>
      <c r="NZR92" s="133"/>
      <c r="NZS92" s="133"/>
      <c r="NZT92" s="133"/>
      <c r="NZU92" s="133"/>
      <c r="NZV92" s="133"/>
      <c r="NZW92" s="133"/>
      <c r="NZX92" s="133"/>
      <c r="NZY92" s="133"/>
      <c r="NZZ92" s="133"/>
      <c r="OAA92" s="133"/>
      <c r="OAB92" s="133"/>
      <c r="OAC92" s="133"/>
      <c r="OAD92" s="133"/>
      <c r="OAE92" s="133"/>
      <c r="OAF92" s="133"/>
      <c r="OAG92" s="133"/>
      <c r="OAH92" s="133"/>
      <c r="OAI92" s="133"/>
      <c r="OAJ92" s="133"/>
      <c r="OAK92" s="133"/>
      <c r="OAL92" s="133"/>
      <c r="OAM92" s="133"/>
      <c r="OAN92" s="133"/>
      <c r="OAO92" s="133"/>
      <c r="OAP92" s="133"/>
      <c r="OAQ92" s="133"/>
      <c r="OAR92" s="133"/>
      <c r="OAS92" s="133"/>
      <c r="OAT92" s="133"/>
      <c r="OAU92" s="133"/>
      <c r="OAV92" s="133"/>
      <c r="OAW92" s="133"/>
      <c r="OAX92" s="133"/>
      <c r="OAY92" s="133"/>
      <c r="OAZ92" s="133"/>
      <c r="OBA92" s="133"/>
      <c r="OBB92" s="133"/>
      <c r="OBC92" s="133"/>
      <c r="OBD92" s="133"/>
      <c r="OBE92" s="133"/>
      <c r="OBF92" s="133"/>
      <c r="OBG92" s="133"/>
      <c r="OBH92" s="133"/>
      <c r="OBI92" s="133"/>
      <c r="OBJ92" s="133"/>
      <c r="OBK92" s="133"/>
      <c r="OBL92" s="133"/>
      <c r="OBM92" s="133"/>
      <c r="OBN92" s="133"/>
      <c r="OBO92" s="133"/>
      <c r="OBP92" s="133"/>
      <c r="OBQ92" s="133"/>
      <c r="OBR92" s="133"/>
      <c r="OBS92" s="133"/>
      <c r="OBT92" s="133"/>
      <c r="OBU92" s="133"/>
      <c r="OBV92" s="133"/>
      <c r="OBW92" s="133"/>
      <c r="OBX92" s="133"/>
      <c r="OBY92" s="133"/>
      <c r="OBZ92" s="133"/>
      <c r="OCA92" s="133"/>
      <c r="OCB92" s="133"/>
      <c r="OCC92" s="133"/>
      <c r="OCD92" s="133"/>
      <c r="OCE92" s="133"/>
      <c r="OCF92" s="133"/>
      <c r="OCG92" s="133"/>
      <c r="OCH92" s="133"/>
      <c r="OCI92" s="133"/>
      <c r="OCJ92" s="133"/>
      <c r="OCK92" s="133"/>
      <c r="OCL92" s="133"/>
      <c r="OCM92" s="133"/>
      <c r="OCN92" s="133"/>
      <c r="OCO92" s="133"/>
      <c r="OCP92" s="133"/>
      <c r="OCQ92" s="133"/>
      <c r="OCR92" s="133"/>
      <c r="OCS92" s="133"/>
      <c r="OCT92" s="133"/>
      <c r="OCU92" s="133"/>
      <c r="OCV92" s="133"/>
      <c r="OCW92" s="133"/>
      <c r="OCX92" s="133"/>
      <c r="OCY92" s="133"/>
      <c r="OCZ92" s="133"/>
      <c r="ODA92" s="133"/>
      <c r="ODB92" s="133"/>
      <c r="ODC92" s="133"/>
      <c r="ODD92" s="133"/>
      <c r="ODE92" s="133"/>
      <c r="ODF92" s="133"/>
      <c r="ODG92" s="133"/>
      <c r="ODH92" s="133"/>
      <c r="ODI92" s="133"/>
      <c r="ODJ92" s="133"/>
      <c r="ODK92" s="133"/>
      <c r="ODL92" s="133"/>
      <c r="ODM92" s="133"/>
      <c r="ODN92" s="133"/>
      <c r="ODO92" s="133"/>
      <c r="ODP92" s="133"/>
      <c r="ODQ92" s="133"/>
      <c r="ODR92" s="133"/>
      <c r="ODS92" s="133"/>
      <c r="ODT92" s="133"/>
      <c r="ODU92" s="133"/>
      <c r="ODV92" s="133"/>
      <c r="ODW92" s="133"/>
      <c r="ODX92" s="133"/>
      <c r="ODY92" s="133"/>
      <c r="ODZ92" s="133"/>
      <c r="OEA92" s="133"/>
      <c r="OEB92" s="133"/>
      <c r="OEC92" s="133"/>
      <c r="OED92" s="133"/>
      <c r="OEE92" s="133"/>
      <c r="OEF92" s="133"/>
      <c r="OEG92" s="133"/>
      <c r="OEH92" s="133"/>
      <c r="OEI92" s="133"/>
      <c r="OEJ92" s="133"/>
      <c r="OEK92" s="133"/>
      <c r="OEL92" s="133"/>
      <c r="OEM92" s="133"/>
      <c r="OEN92" s="133"/>
      <c r="OEO92" s="133"/>
      <c r="OEP92" s="133"/>
      <c r="OEQ92" s="133"/>
      <c r="OER92" s="133"/>
      <c r="OES92" s="133"/>
      <c r="OET92" s="133"/>
      <c r="OEU92" s="133"/>
      <c r="OEV92" s="133"/>
      <c r="OEW92" s="133"/>
      <c r="OEX92" s="133"/>
      <c r="OEY92" s="133"/>
      <c r="OEZ92" s="133"/>
      <c r="OFA92" s="133"/>
      <c r="OFB92" s="133"/>
      <c r="OFC92" s="133"/>
      <c r="OFD92" s="133"/>
      <c r="OFE92" s="133"/>
      <c r="OFF92" s="133"/>
      <c r="OFG92" s="133"/>
      <c r="OFH92" s="133"/>
      <c r="OFI92" s="133"/>
      <c r="OFJ92" s="133"/>
      <c r="OFK92" s="133"/>
      <c r="OFL92" s="133"/>
      <c r="OFM92" s="133"/>
      <c r="OFN92" s="133"/>
      <c r="OFO92" s="133"/>
      <c r="OFP92" s="133"/>
      <c r="OFQ92" s="133"/>
      <c r="OFR92" s="133"/>
      <c r="OFS92" s="133"/>
      <c r="OFT92" s="133"/>
      <c r="OFU92" s="133"/>
      <c r="OFV92" s="133"/>
      <c r="OFW92" s="133"/>
      <c r="OFX92" s="133"/>
      <c r="OFY92" s="133"/>
      <c r="OFZ92" s="133"/>
      <c r="OGA92" s="133"/>
      <c r="OGB92" s="133"/>
      <c r="OGC92" s="133"/>
      <c r="OGD92" s="133"/>
      <c r="OGE92" s="133"/>
      <c r="OGF92" s="133"/>
      <c r="OGG92" s="133"/>
      <c r="OGH92" s="133"/>
      <c r="OGI92" s="133"/>
      <c r="OGJ92" s="133"/>
      <c r="OGK92" s="133"/>
      <c r="OGL92" s="133"/>
      <c r="OGM92" s="133"/>
      <c r="OGN92" s="133"/>
      <c r="OGO92" s="133"/>
      <c r="OGP92" s="133"/>
      <c r="OGQ92" s="133"/>
      <c r="OGR92" s="133"/>
      <c r="OGS92" s="133"/>
      <c r="OGT92" s="133"/>
      <c r="OGU92" s="133"/>
      <c r="OGV92" s="133"/>
      <c r="OGW92" s="133"/>
      <c r="OGX92" s="133"/>
      <c r="OGY92" s="133"/>
      <c r="OGZ92" s="133"/>
      <c r="OHA92" s="133"/>
      <c r="OHB92" s="133"/>
      <c r="OHC92" s="133"/>
      <c r="OHD92" s="133"/>
      <c r="OHE92" s="133"/>
      <c r="OHF92" s="133"/>
      <c r="OHG92" s="133"/>
      <c r="OHH92" s="133"/>
      <c r="OHI92" s="133"/>
      <c r="OHJ92" s="133"/>
      <c r="OHK92" s="133"/>
      <c r="OHL92" s="133"/>
      <c r="OHM92" s="133"/>
      <c r="OHN92" s="133"/>
      <c r="OHO92" s="133"/>
      <c r="OHP92" s="133"/>
      <c r="OHQ92" s="133"/>
      <c r="OHR92" s="133"/>
      <c r="OHS92" s="133"/>
      <c r="OHT92" s="133"/>
      <c r="OHU92" s="133"/>
      <c r="OHV92" s="133"/>
      <c r="OHW92" s="133"/>
      <c r="OHX92" s="133"/>
      <c r="OHY92" s="133"/>
      <c r="OHZ92" s="133"/>
      <c r="OIA92" s="133"/>
      <c r="OIB92" s="133"/>
      <c r="OIC92" s="133"/>
      <c r="OID92" s="133"/>
      <c r="OIE92" s="133"/>
      <c r="OIF92" s="133"/>
      <c r="OIG92" s="133"/>
      <c r="OIH92" s="133"/>
      <c r="OII92" s="133"/>
      <c r="OIJ92" s="133"/>
      <c r="OIK92" s="133"/>
      <c r="OIL92" s="133"/>
      <c r="OIM92" s="133"/>
      <c r="OIN92" s="133"/>
      <c r="OIO92" s="133"/>
      <c r="OIP92" s="133"/>
      <c r="OIQ92" s="133"/>
      <c r="OIR92" s="133"/>
      <c r="OIS92" s="133"/>
      <c r="OIT92" s="133"/>
      <c r="OIU92" s="133"/>
      <c r="OIV92" s="133"/>
      <c r="OIW92" s="133"/>
      <c r="OIX92" s="133"/>
      <c r="OIY92" s="133"/>
      <c r="OIZ92" s="133"/>
      <c r="OJA92" s="133"/>
      <c r="OJB92" s="133"/>
      <c r="OJC92" s="133"/>
      <c r="OJD92" s="133"/>
      <c r="OJE92" s="133"/>
      <c r="OJF92" s="133"/>
      <c r="OJG92" s="133"/>
      <c r="OJH92" s="133"/>
      <c r="OJI92" s="133"/>
      <c r="OJJ92" s="133"/>
      <c r="OJK92" s="133"/>
      <c r="OJL92" s="133"/>
      <c r="OJM92" s="133"/>
      <c r="OJN92" s="133"/>
      <c r="OJO92" s="133"/>
      <c r="OJP92" s="133"/>
      <c r="OJQ92" s="133"/>
      <c r="OJR92" s="133"/>
      <c r="OJS92" s="133"/>
      <c r="OJT92" s="133"/>
      <c r="OJU92" s="133"/>
      <c r="OJV92" s="133"/>
      <c r="OJW92" s="133"/>
      <c r="OJX92" s="133"/>
      <c r="OJY92" s="133"/>
      <c r="OJZ92" s="133"/>
      <c r="OKA92" s="133"/>
      <c r="OKB92" s="133"/>
      <c r="OKC92" s="133"/>
      <c r="OKD92" s="133"/>
      <c r="OKE92" s="133"/>
      <c r="OKF92" s="133"/>
      <c r="OKG92" s="133"/>
      <c r="OKH92" s="133"/>
      <c r="OKI92" s="133"/>
      <c r="OKJ92" s="133"/>
      <c r="OKK92" s="133"/>
      <c r="OKL92" s="133"/>
      <c r="OKM92" s="133"/>
      <c r="OKN92" s="133"/>
      <c r="OKO92" s="133"/>
      <c r="OKP92" s="133"/>
      <c r="OKQ92" s="133"/>
      <c r="OKR92" s="133"/>
      <c r="OKS92" s="133"/>
      <c r="OKT92" s="133"/>
      <c r="OKU92" s="133"/>
      <c r="OKV92" s="133"/>
      <c r="OKW92" s="133"/>
      <c r="OKX92" s="133"/>
      <c r="OKY92" s="133"/>
      <c r="OKZ92" s="133"/>
      <c r="OLA92" s="133"/>
      <c r="OLB92" s="133"/>
      <c r="OLC92" s="133"/>
      <c r="OLD92" s="133"/>
      <c r="OLE92" s="133"/>
      <c r="OLF92" s="133"/>
      <c r="OLG92" s="133"/>
      <c r="OLH92" s="133"/>
      <c r="OLI92" s="133"/>
      <c r="OLJ92" s="133"/>
      <c r="OLK92" s="133"/>
      <c r="OLL92" s="133"/>
      <c r="OLM92" s="133"/>
      <c r="OLN92" s="133"/>
      <c r="OLO92" s="133"/>
      <c r="OLP92" s="133"/>
      <c r="OLQ92" s="133"/>
      <c r="OLR92" s="133"/>
      <c r="OLS92" s="133"/>
      <c r="OLT92" s="133"/>
      <c r="OLU92" s="133"/>
      <c r="OLV92" s="133"/>
      <c r="OLW92" s="133"/>
      <c r="OLX92" s="133"/>
      <c r="OLY92" s="133"/>
      <c r="OLZ92" s="133"/>
      <c r="OMA92" s="133"/>
      <c r="OMB92" s="133"/>
      <c r="OMC92" s="133"/>
      <c r="OMD92" s="133"/>
      <c r="OME92" s="133"/>
      <c r="OMF92" s="133"/>
      <c r="OMG92" s="133"/>
      <c r="OMH92" s="133"/>
      <c r="OMI92" s="133"/>
      <c r="OMJ92" s="133"/>
      <c r="OMK92" s="133"/>
      <c r="OML92" s="133"/>
      <c r="OMM92" s="133"/>
      <c r="OMN92" s="133"/>
      <c r="OMO92" s="133"/>
      <c r="OMP92" s="133"/>
      <c r="OMQ92" s="133"/>
      <c r="OMR92" s="133"/>
      <c r="OMS92" s="133"/>
      <c r="OMT92" s="133"/>
      <c r="OMU92" s="133"/>
      <c r="OMV92" s="133"/>
      <c r="OMW92" s="133"/>
      <c r="OMX92" s="133"/>
      <c r="OMY92" s="133"/>
      <c r="OMZ92" s="133"/>
      <c r="ONA92" s="133"/>
      <c r="ONB92" s="133"/>
      <c r="ONC92" s="133"/>
      <c r="OND92" s="133"/>
      <c r="ONE92" s="133"/>
      <c r="ONF92" s="133"/>
      <c r="ONG92" s="133"/>
      <c r="ONH92" s="133"/>
      <c r="ONI92" s="133"/>
      <c r="ONJ92" s="133"/>
      <c r="ONK92" s="133"/>
      <c r="ONL92" s="133"/>
      <c r="ONM92" s="133"/>
      <c r="ONN92" s="133"/>
      <c r="ONO92" s="133"/>
      <c r="ONP92" s="133"/>
      <c r="ONQ92" s="133"/>
      <c r="ONR92" s="133"/>
      <c r="ONS92" s="133"/>
      <c r="ONT92" s="133"/>
      <c r="ONU92" s="133"/>
      <c r="ONV92" s="133"/>
      <c r="ONW92" s="133"/>
      <c r="ONX92" s="133"/>
      <c r="ONY92" s="133"/>
      <c r="ONZ92" s="133"/>
      <c r="OOA92" s="133"/>
      <c r="OOB92" s="133"/>
      <c r="OOC92" s="133"/>
      <c r="OOD92" s="133"/>
      <c r="OOE92" s="133"/>
      <c r="OOF92" s="133"/>
      <c r="OOG92" s="133"/>
      <c r="OOH92" s="133"/>
      <c r="OOI92" s="133"/>
      <c r="OOJ92" s="133"/>
      <c r="OOK92" s="133"/>
      <c r="OOL92" s="133"/>
      <c r="OOM92" s="133"/>
      <c r="OON92" s="133"/>
      <c r="OOO92" s="133"/>
      <c r="OOP92" s="133"/>
      <c r="OOQ92" s="133"/>
      <c r="OOR92" s="133"/>
      <c r="OOS92" s="133"/>
      <c r="OOT92" s="133"/>
      <c r="OOU92" s="133"/>
      <c r="OOV92" s="133"/>
      <c r="OOW92" s="133"/>
      <c r="OOX92" s="133"/>
      <c r="OOY92" s="133"/>
      <c r="OOZ92" s="133"/>
      <c r="OPA92" s="133"/>
      <c r="OPB92" s="133"/>
      <c r="OPC92" s="133"/>
      <c r="OPD92" s="133"/>
      <c r="OPE92" s="133"/>
      <c r="OPF92" s="133"/>
      <c r="OPG92" s="133"/>
      <c r="OPH92" s="133"/>
      <c r="OPI92" s="133"/>
      <c r="OPJ92" s="133"/>
      <c r="OPK92" s="133"/>
      <c r="OPL92" s="133"/>
      <c r="OPM92" s="133"/>
      <c r="OPN92" s="133"/>
      <c r="OPO92" s="133"/>
      <c r="OPP92" s="133"/>
      <c r="OPQ92" s="133"/>
      <c r="OPR92" s="133"/>
      <c r="OPS92" s="133"/>
      <c r="OPT92" s="133"/>
      <c r="OPU92" s="133"/>
      <c r="OPV92" s="133"/>
      <c r="OPW92" s="133"/>
      <c r="OPX92" s="133"/>
      <c r="OPY92" s="133"/>
      <c r="OPZ92" s="133"/>
      <c r="OQA92" s="133"/>
      <c r="OQB92" s="133"/>
      <c r="OQC92" s="133"/>
      <c r="OQD92" s="133"/>
      <c r="OQE92" s="133"/>
      <c r="OQF92" s="133"/>
      <c r="OQG92" s="133"/>
      <c r="OQH92" s="133"/>
      <c r="OQI92" s="133"/>
      <c r="OQJ92" s="133"/>
      <c r="OQK92" s="133"/>
      <c r="OQL92" s="133"/>
      <c r="OQM92" s="133"/>
      <c r="OQN92" s="133"/>
      <c r="OQO92" s="133"/>
      <c r="OQP92" s="133"/>
      <c r="OQQ92" s="133"/>
      <c r="OQR92" s="133"/>
      <c r="OQS92" s="133"/>
      <c r="OQT92" s="133"/>
      <c r="OQU92" s="133"/>
      <c r="OQV92" s="133"/>
      <c r="OQW92" s="133"/>
      <c r="OQX92" s="133"/>
      <c r="OQY92" s="133"/>
      <c r="OQZ92" s="133"/>
      <c r="ORA92" s="133"/>
      <c r="ORB92" s="133"/>
      <c r="ORC92" s="133"/>
      <c r="ORD92" s="133"/>
      <c r="ORE92" s="133"/>
      <c r="ORF92" s="133"/>
      <c r="ORG92" s="133"/>
      <c r="ORH92" s="133"/>
      <c r="ORI92" s="133"/>
      <c r="ORJ92" s="133"/>
      <c r="ORK92" s="133"/>
      <c r="ORL92" s="133"/>
      <c r="ORM92" s="133"/>
      <c r="ORN92" s="133"/>
      <c r="ORO92" s="133"/>
      <c r="ORP92" s="133"/>
      <c r="ORQ92" s="133"/>
      <c r="ORR92" s="133"/>
      <c r="ORS92" s="133"/>
      <c r="ORT92" s="133"/>
      <c r="ORU92" s="133"/>
      <c r="ORV92" s="133"/>
      <c r="ORW92" s="133"/>
      <c r="ORX92" s="133"/>
      <c r="ORY92" s="133"/>
      <c r="ORZ92" s="133"/>
      <c r="OSA92" s="133"/>
      <c r="OSB92" s="133"/>
      <c r="OSC92" s="133"/>
      <c r="OSD92" s="133"/>
      <c r="OSE92" s="133"/>
      <c r="OSF92" s="133"/>
      <c r="OSG92" s="133"/>
      <c r="OSH92" s="133"/>
      <c r="OSI92" s="133"/>
      <c r="OSJ92" s="133"/>
      <c r="OSK92" s="133"/>
      <c r="OSL92" s="133"/>
      <c r="OSM92" s="133"/>
      <c r="OSN92" s="133"/>
      <c r="OSO92" s="133"/>
      <c r="OSP92" s="133"/>
      <c r="OSQ92" s="133"/>
      <c r="OSR92" s="133"/>
      <c r="OSS92" s="133"/>
      <c r="OST92" s="133"/>
      <c r="OSU92" s="133"/>
      <c r="OSV92" s="133"/>
      <c r="OSW92" s="133"/>
      <c r="OSX92" s="133"/>
      <c r="OSY92" s="133"/>
      <c r="OSZ92" s="133"/>
      <c r="OTA92" s="133"/>
      <c r="OTB92" s="133"/>
      <c r="OTC92" s="133"/>
      <c r="OTD92" s="133"/>
      <c r="OTE92" s="133"/>
      <c r="OTF92" s="133"/>
      <c r="OTG92" s="133"/>
      <c r="OTH92" s="133"/>
      <c r="OTI92" s="133"/>
      <c r="OTJ92" s="133"/>
      <c r="OTK92" s="133"/>
      <c r="OTL92" s="133"/>
      <c r="OTM92" s="133"/>
      <c r="OTN92" s="133"/>
      <c r="OTO92" s="133"/>
      <c r="OTP92" s="133"/>
      <c r="OTQ92" s="133"/>
      <c r="OTR92" s="133"/>
      <c r="OTS92" s="133"/>
      <c r="OTT92" s="133"/>
      <c r="OTU92" s="133"/>
      <c r="OTV92" s="133"/>
      <c r="OTW92" s="133"/>
      <c r="OTX92" s="133"/>
      <c r="OTY92" s="133"/>
      <c r="OTZ92" s="133"/>
      <c r="OUA92" s="133"/>
      <c r="OUB92" s="133"/>
      <c r="OUC92" s="133"/>
      <c r="OUD92" s="133"/>
      <c r="OUE92" s="133"/>
      <c r="OUF92" s="133"/>
      <c r="OUG92" s="133"/>
      <c r="OUH92" s="133"/>
      <c r="OUI92" s="133"/>
      <c r="OUJ92" s="133"/>
      <c r="OUK92" s="133"/>
      <c r="OUL92" s="133"/>
      <c r="OUM92" s="133"/>
      <c r="OUN92" s="133"/>
      <c r="OUO92" s="133"/>
      <c r="OUP92" s="133"/>
      <c r="OUQ92" s="133"/>
      <c r="OUR92" s="133"/>
      <c r="OUS92" s="133"/>
      <c r="OUT92" s="133"/>
      <c r="OUU92" s="133"/>
      <c r="OUV92" s="133"/>
      <c r="OUW92" s="133"/>
      <c r="OUX92" s="133"/>
      <c r="OUY92" s="133"/>
      <c r="OUZ92" s="133"/>
      <c r="OVA92" s="133"/>
      <c r="OVB92" s="133"/>
      <c r="OVC92" s="133"/>
      <c r="OVD92" s="133"/>
      <c r="OVE92" s="133"/>
      <c r="OVF92" s="133"/>
      <c r="OVG92" s="133"/>
      <c r="OVH92" s="133"/>
      <c r="OVI92" s="133"/>
      <c r="OVJ92" s="133"/>
      <c r="OVK92" s="133"/>
      <c r="OVL92" s="133"/>
      <c r="OVM92" s="133"/>
      <c r="OVN92" s="133"/>
      <c r="OVO92" s="133"/>
      <c r="OVP92" s="133"/>
      <c r="OVQ92" s="133"/>
      <c r="OVR92" s="133"/>
      <c r="OVS92" s="133"/>
      <c r="OVT92" s="133"/>
      <c r="OVU92" s="133"/>
      <c r="OVV92" s="133"/>
      <c r="OVW92" s="133"/>
      <c r="OVX92" s="133"/>
      <c r="OVY92" s="133"/>
      <c r="OVZ92" s="133"/>
      <c r="OWA92" s="133"/>
      <c r="OWB92" s="133"/>
      <c r="OWC92" s="133"/>
      <c r="OWD92" s="133"/>
      <c r="OWE92" s="133"/>
      <c r="OWF92" s="133"/>
      <c r="OWG92" s="133"/>
      <c r="OWH92" s="133"/>
      <c r="OWI92" s="133"/>
      <c r="OWJ92" s="133"/>
      <c r="OWK92" s="133"/>
      <c r="OWL92" s="133"/>
      <c r="OWM92" s="133"/>
      <c r="OWN92" s="133"/>
      <c r="OWO92" s="133"/>
      <c r="OWP92" s="133"/>
      <c r="OWQ92" s="133"/>
      <c r="OWR92" s="133"/>
      <c r="OWS92" s="133"/>
      <c r="OWT92" s="133"/>
      <c r="OWU92" s="133"/>
      <c r="OWV92" s="133"/>
      <c r="OWW92" s="133"/>
      <c r="OWX92" s="133"/>
      <c r="OWY92" s="133"/>
      <c r="OWZ92" s="133"/>
      <c r="OXA92" s="133"/>
      <c r="OXB92" s="133"/>
      <c r="OXC92" s="133"/>
      <c r="OXD92" s="133"/>
      <c r="OXE92" s="133"/>
      <c r="OXF92" s="133"/>
      <c r="OXG92" s="133"/>
      <c r="OXH92" s="133"/>
      <c r="OXI92" s="133"/>
      <c r="OXJ92" s="133"/>
      <c r="OXK92" s="133"/>
      <c r="OXL92" s="133"/>
      <c r="OXM92" s="133"/>
      <c r="OXN92" s="133"/>
      <c r="OXO92" s="133"/>
      <c r="OXP92" s="133"/>
      <c r="OXQ92" s="133"/>
      <c r="OXR92" s="133"/>
      <c r="OXS92" s="133"/>
      <c r="OXT92" s="133"/>
      <c r="OXU92" s="133"/>
      <c r="OXV92" s="133"/>
      <c r="OXW92" s="133"/>
      <c r="OXX92" s="133"/>
      <c r="OXY92" s="133"/>
      <c r="OXZ92" s="133"/>
      <c r="OYA92" s="133"/>
      <c r="OYB92" s="133"/>
      <c r="OYC92" s="133"/>
      <c r="OYD92" s="133"/>
      <c r="OYE92" s="133"/>
      <c r="OYF92" s="133"/>
      <c r="OYG92" s="133"/>
      <c r="OYH92" s="133"/>
      <c r="OYI92" s="133"/>
      <c r="OYJ92" s="133"/>
      <c r="OYK92" s="133"/>
      <c r="OYL92" s="133"/>
      <c r="OYM92" s="133"/>
      <c r="OYN92" s="133"/>
      <c r="OYO92" s="133"/>
      <c r="OYP92" s="133"/>
      <c r="OYQ92" s="133"/>
      <c r="OYR92" s="133"/>
      <c r="OYS92" s="133"/>
      <c r="OYT92" s="133"/>
      <c r="OYU92" s="133"/>
      <c r="OYV92" s="133"/>
      <c r="OYW92" s="133"/>
      <c r="OYX92" s="133"/>
      <c r="OYY92" s="133"/>
      <c r="OYZ92" s="133"/>
      <c r="OZA92" s="133"/>
      <c r="OZB92" s="133"/>
      <c r="OZC92" s="133"/>
      <c r="OZD92" s="133"/>
      <c r="OZE92" s="133"/>
      <c r="OZF92" s="133"/>
      <c r="OZG92" s="133"/>
      <c r="OZH92" s="133"/>
      <c r="OZI92" s="133"/>
      <c r="OZJ92" s="133"/>
      <c r="OZK92" s="133"/>
      <c r="OZL92" s="133"/>
      <c r="OZM92" s="133"/>
      <c r="OZN92" s="133"/>
      <c r="OZO92" s="133"/>
      <c r="OZP92" s="133"/>
      <c r="OZQ92" s="133"/>
      <c r="OZR92" s="133"/>
      <c r="OZS92" s="133"/>
      <c r="OZT92" s="133"/>
      <c r="OZU92" s="133"/>
      <c r="OZV92" s="133"/>
      <c r="OZW92" s="133"/>
      <c r="OZX92" s="133"/>
      <c r="OZY92" s="133"/>
      <c r="OZZ92" s="133"/>
      <c r="PAA92" s="133"/>
      <c r="PAB92" s="133"/>
      <c r="PAC92" s="133"/>
      <c r="PAD92" s="133"/>
      <c r="PAE92" s="133"/>
      <c r="PAF92" s="133"/>
      <c r="PAG92" s="133"/>
      <c r="PAH92" s="133"/>
      <c r="PAI92" s="133"/>
      <c r="PAJ92" s="133"/>
      <c r="PAK92" s="133"/>
      <c r="PAL92" s="133"/>
      <c r="PAM92" s="133"/>
      <c r="PAN92" s="133"/>
      <c r="PAO92" s="133"/>
      <c r="PAP92" s="133"/>
      <c r="PAQ92" s="133"/>
      <c r="PAR92" s="133"/>
      <c r="PAS92" s="133"/>
      <c r="PAT92" s="133"/>
      <c r="PAU92" s="133"/>
      <c r="PAV92" s="133"/>
      <c r="PAW92" s="133"/>
      <c r="PAX92" s="133"/>
      <c r="PAY92" s="133"/>
      <c r="PAZ92" s="133"/>
      <c r="PBA92" s="133"/>
      <c r="PBB92" s="133"/>
      <c r="PBC92" s="133"/>
      <c r="PBD92" s="133"/>
      <c r="PBE92" s="133"/>
      <c r="PBF92" s="133"/>
      <c r="PBG92" s="133"/>
      <c r="PBH92" s="133"/>
      <c r="PBI92" s="133"/>
      <c r="PBJ92" s="133"/>
      <c r="PBK92" s="133"/>
      <c r="PBL92" s="133"/>
      <c r="PBM92" s="133"/>
      <c r="PBN92" s="133"/>
      <c r="PBO92" s="133"/>
      <c r="PBP92" s="133"/>
      <c r="PBQ92" s="133"/>
      <c r="PBR92" s="133"/>
      <c r="PBS92" s="133"/>
      <c r="PBT92" s="133"/>
      <c r="PBU92" s="133"/>
      <c r="PBV92" s="133"/>
      <c r="PBW92" s="133"/>
      <c r="PBX92" s="133"/>
      <c r="PBY92" s="133"/>
      <c r="PBZ92" s="133"/>
      <c r="PCA92" s="133"/>
      <c r="PCB92" s="133"/>
      <c r="PCC92" s="133"/>
      <c r="PCD92" s="133"/>
      <c r="PCE92" s="133"/>
      <c r="PCF92" s="133"/>
      <c r="PCG92" s="133"/>
      <c r="PCH92" s="133"/>
      <c r="PCI92" s="133"/>
      <c r="PCJ92" s="133"/>
      <c r="PCK92" s="133"/>
      <c r="PCL92" s="133"/>
      <c r="PCM92" s="133"/>
      <c r="PCN92" s="133"/>
      <c r="PCO92" s="133"/>
      <c r="PCP92" s="133"/>
      <c r="PCQ92" s="133"/>
      <c r="PCR92" s="133"/>
      <c r="PCS92" s="133"/>
      <c r="PCT92" s="133"/>
      <c r="PCU92" s="133"/>
      <c r="PCV92" s="133"/>
      <c r="PCW92" s="133"/>
      <c r="PCX92" s="133"/>
      <c r="PCY92" s="133"/>
      <c r="PCZ92" s="133"/>
      <c r="PDA92" s="133"/>
      <c r="PDB92" s="133"/>
      <c r="PDC92" s="133"/>
      <c r="PDD92" s="133"/>
      <c r="PDE92" s="133"/>
      <c r="PDF92" s="133"/>
      <c r="PDG92" s="133"/>
      <c r="PDH92" s="133"/>
      <c r="PDI92" s="133"/>
      <c r="PDJ92" s="133"/>
      <c r="PDK92" s="133"/>
      <c r="PDL92" s="133"/>
      <c r="PDM92" s="133"/>
      <c r="PDN92" s="133"/>
      <c r="PDO92" s="133"/>
      <c r="PDP92" s="133"/>
      <c r="PDQ92" s="133"/>
      <c r="PDR92" s="133"/>
      <c r="PDS92" s="133"/>
      <c r="PDT92" s="133"/>
      <c r="PDU92" s="133"/>
      <c r="PDV92" s="133"/>
      <c r="PDW92" s="133"/>
      <c r="PDX92" s="133"/>
      <c r="PDY92" s="133"/>
      <c r="PDZ92" s="133"/>
      <c r="PEA92" s="133"/>
      <c r="PEB92" s="133"/>
      <c r="PEC92" s="133"/>
      <c r="PED92" s="133"/>
      <c r="PEE92" s="133"/>
      <c r="PEF92" s="133"/>
      <c r="PEG92" s="133"/>
      <c r="PEH92" s="133"/>
      <c r="PEI92" s="133"/>
      <c r="PEJ92" s="133"/>
      <c r="PEK92" s="133"/>
      <c r="PEL92" s="133"/>
      <c r="PEM92" s="133"/>
      <c r="PEN92" s="133"/>
      <c r="PEO92" s="133"/>
      <c r="PEP92" s="133"/>
      <c r="PEQ92" s="133"/>
      <c r="PER92" s="133"/>
      <c r="PES92" s="133"/>
      <c r="PET92" s="133"/>
      <c r="PEU92" s="133"/>
      <c r="PEV92" s="133"/>
      <c r="PEW92" s="133"/>
      <c r="PEX92" s="133"/>
      <c r="PEY92" s="133"/>
      <c r="PEZ92" s="133"/>
      <c r="PFA92" s="133"/>
      <c r="PFB92" s="133"/>
      <c r="PFC92" s="133"/>
      <c r="PFD92" s="133"/>
      <c r="PFE92" s="133"/>
      <c r="PFF92" s="133"/>
      <c r="PFG92" s="133"/>
      <c r="PFH92" s="133"/>
      <c r="PFI92" s="133"/>
      <c r="PFJ92" s="133"/>
      <c r="PFK92" s="133"/>
      <c r="PFL92" s="133"/>
      <c r="PFM92" s="133"/>
      <c r="PFN92" s="133"/>
      <c r="PFO92" s="133"/>
      <c r="PFP92" s="133"/>
      <c r="PFQ92" s="133"/>
      <c r="PFR92" s="133"/>
      <c r="PFS92" s="133"/>
      <c r="PFT92" s="133"/>
      <c r="PFU92" s="133"/>
      <c r="PFV92" s="133"/>
      <c r="PFW92" s="133"/>
      <c r="PFX92" s="133"/>
      <c r="PFY92" s="133"/>
      <c r="PFZ92" s="133"/>
      <c r="PGA92" s="133"/>
      <c r="PGB92" s="133"/>
      <c r="PGC92" s="133"/>
      <c r="PGD92" s="133"/>
      <c r="PGE92" s="133"/>
      <c r="PGF92" s="133"/>
      <c r="PGG92" s="133"/>
      <c r="PGH92" s="133"/>
      <c r="PGI92" s="133"/>
      <c r="PGJ92" s="133"/>
      <c r="PGK92" s="133"/>
      <c r="PGL92" s="133"/>
      <c r="PGM92" s="133"/>
      <c r="PGN92" s="133"/>
      <c r="PGO92" s="133"/>
      <c r="PGP92" s="133"/>
      <c r="PGQ92" s="133"/>
      <c r="PGR92" s="133"/>
      <c r="PGS92" s="133"/>
      <c r="PGT92" s="133"/>
      <c r="PGU92" s="133"/>
      <c r="PGV92" s="133"/>
      <c r="PGW92" s="133"/>
      <c r="PGX92" s="133"/>
      <c r="PGY92" s="133"/>
      <c r="PGZ92" s="133"/>
      <c r="PHA92" s="133"/>
      <c r="PHB92" s="133"/>
      <c r="PHC92" s="133"/>
      <c r="PHD92" s="133"/>
      <c r="PHE92" s="133"/>
      <c r="PHF92" s="133"/>
      <c r="PHG92" s="133"/>
      <c r="PHH92" s="133"/>
      <c r="PHI92" s="133"/>
      <c r="PHJ92" s="133"/>
      <c r="PHK92" s="133"/>
      <c r="PHL92" s="133"/>
      <c r="PHM92" s="133"/>
      <c r="PHN92" s="133"/>
      <c r="PHO92" s="133"/>
      <c r="PHP92" s="133"/>
      <c r="PHQ92" s="133"/>
      <c r="PHR92" s="133"/>
      <c r="PHS92" s="133"/>
      <c r="PHT92" s="133"/>
      <c r="PHU92" s="133"/>
      <c r="PHV92" s="133"/>
      <c r="PHW92" s="133"/>
      <c r="PHX92" s="133"/>
      <c r="PHY92" s="133"/>
      <c r="PHZ92" s="133"/>
      <c r="PIA92" s="133"/>
      <c r="PIB92" s="133"/>
      <c r="PIC92" s="133"/>
      <c r="PID92" s="133"/>
      <c r="PIE92" s="133"/>
      <c r="PIF92" s="133"/>
      <c r="PIG92" s="133"/>
      <c r="PIH92" s="133"/>
      <c r="PII92" s="133"/>
      <c r="PIJ92" s="133"/>
      <c r="PIK92" s="133"/>
      <c r="PIL92" s="133"/>
      <c r="PIM92" s="133"/>
      <c r="PIN92" s="133"/>
      <c r="PIO92" s="133"/>
      <c r="PIP92" s="133"/>
      <c r="PIQ92" s="133"/>
      <c r="PIR92" s="133"/>
      <c r="PIS92" s="133"/>
      <c r="PIT92" s="133"/>
      <c r="PIU92" s="133"/>
      <c r="PIV92" s="133"/>
      <c r="PIW92" s="133"/>
      <c r="PIX92" s="133"/>
      <c r="PIY92" s="133"/>
      <c r="PIZ92" s="133"/>
      <c r="PJA92" s="133"/>
      <c r="PJB92" s="133"/>
      <c r="PJC92" s="133"/>
      <c r="PJD92" s="133"/>
      <c r="PJE92" s="133"/>
      <c r="PJF92" s="133"/>
      <c r="PJG92" s="133"/>
      <c r="PJH92" s="133"/>
      <c r="PJI92" s="133"/>
      <c r="PJJ92" s="133"/>
      <c r="PJK92" s="133"/>
      <c r="PJL92" s="133"/>
      <c r="PJM92" s="133"/>
      <c r="PJN92" s="133"/>
      <c r="PJO92" s="133"/>
      <c r="PJP92" s="133"/>
      <c r="PJQ92" s="133"/>
      <c r="PJR92" s="133"/>
      <c r="PJS92" s="133"/>
      <c r="PJT92" s="133"/>
      <c r="PJU92" s="133"/>
      <c r="PJV92" s="133"/>
      <c r="PJW92" s="133"/>
      <c r="PJX92" s="133"/>
      <c r="PJY92" s="133"/>
      <c r="PJZ92" s="133"/>
      <c r="PKA92" s="133"/>
      <c r="PKB92" s="133"/>
      <c r="PKC92" s="133"/>
      <c r="PKD92" s="133"/>
      <c r="PKE92" s="133"/>
      <c r="PKF92" s="133"/>
      <c r="PKG92" s="133"/>
      <c r="PKH92" s="133"/>
      <c r="PKI92" s="133"/>
      <c r="PKJ92" s="133"/>
      <c r="PKK92" s="133"/>
      <c r="PKL92" s="133"/>
      <c r="PKM92" s="133"/>
      <c r="PKN92" s="133"/>
      <c r="PKO92" s="133"/>
      <c r="PKP92" s="133"/>
      <c r="PKQ92" s="133"/>
      <c r="PKR92" s="133"/>
      <c r="PKS92" s="133"/>
      <c r="PKT92" s="133"/>
      <c r="PKU92" s="133"/>
      <c r="PKV92" s="133"/>
      <c r="PKW92" s="133"/>
      <c r="PKX92" s="133"/>
      <c r="PKY92" s="133"/>
      <c r="PKZ92" s="133"/>
      <c r="PLA92" s="133"/>
      <c r="PLB92" s="133"/>
      <c r="PLC92" s="133"/>
      <c r="PLD92" s="133"/>
      <c r="PLE92" s="133"/>
      <c r="PLF92" s="133"/>
      <c r="PLG92" s="133"/>
      <c r="PLH92" s="133"/>
      <c r="PLI92" s="133"/>
      <c r="PLJ92" s="133"/>
      <c r="PLK92" s="133"/>
      <c r="PLL92" s="133"/>
      <c r="PLM92" s="133"/>
      <c r="PLN92" s="133"/>
      <c r="PLO92" s="133"/>
      <c r="PLP92" s="133"/>
      <c r="PLQ92" s="133"/>
      <c r="PLR92" s="133"/>
      <c r="PLS92" s="133"/>
      <c r="PLT92" s="133"/>
      <c r="PLU92" s="133"/>
      <c r="PLV92" s="133"/>
      <c r="PLW92" s="133"/>
      <c r="PLX92" s="133"/>
      <c r="PLY92" s="133"/>
      <c r="PLZ92" s="133"/>
      <c r="PMA92" s="133"/>
      <c r="PMB92" s="133"/>
      <c r="PMC92" s="133"/>
      <c r="PMD92" s="133"/>
      <c r="PME92" s="133"/>
      <c r="PMF92" s="133"/>
      <c r="PMG92" s="133"/>
      <c r="PMH92" s="133"/>
      <c r="PMI92" s="133"/>
      <c r="PMJ92" s="133"/>
      <c r="PMK92" s="133"/>
      <c r="PML92" s="133"/>
      <c r="PMM92" s="133"/>
      <c r="PMN92" s="133"/>
      <c r="PMO92" s="133"/>
      <c r="PMP92" s="133"/>
      <c r="PMQ92" s="133"/>
      <c r="PMR92" s="133"/>
      <c r="PMS92" s="133"/>
      <c r="PMT92" s="133"/>
      <c r="PMU92" s="133"/>
      <c r="PMV92" s="133"/>
      <c r="PMW92" s="133"/>
      <c r="PMX92" s="133"/>
      <c r="PMY92" s="133"/>
      <c r="PMZ92" s="133"/>
      <c r="PNA92" s="133"/>
      <c r="PNB92" s="133"/>
      <c r="PNC92" s="133"/>
      <c r="PND92" s="133"/>
      <c r="PNE92" s="133"/>
      <c r="PNF92" s="133"/>
      <c r="PNG92" s="133"/>
      <c r="PNH92" s="133"/>
      <c r="PNI92" s="133"/>
      <c r="PNJ92" s="133"/>
      <c r="PNK92" s="133"/>
      <c r="PNL92" s="133"/>
      <c r="PNM92" s="133"/>
      <c r="PNN92" s="133"/>
      <c r="PNO92" s="133"/>
      <c r="PNP92" s="133"/>
      <c r="PNQ92" s="133"/>
      <c r="PNR92" s="133"/>
      <c r="PNS92" s="133"/>
      <c r="PNT92" s="133"/>
      <c r="PNU92" s="133"/>
      <c r="PNV92" s="133"/>
      <c r="PNW92" s="133"/>
      <c r="PNX92" s="133"/>
      <c r="PNY92" s="133"/>
      <c r="PNZ92" s="133"/>
      <c r="POA92" s="133"/>
      <c r="POB92" s="133"/>
      <c r="POC92" s="133"/>
      <c r="POD92" s="133"/>
      <c r="POE92" s="133"/>
      <c r="POF92" s="133"/>
      <c r="POG92" s="133"/>
      <c r="POH92" s="133"/>
      <c r="POI92" s="133"/>
      <c r="POJ92" s="133"/>
      <c r="POK92" s="133"/>
      <c r="POL92" s="133"/>
      <c r="POM92" s="133"/>
      <c r="PON92" s="133"/>
      <c r="POO92" s="133"/>
      <c r="POP92" s="133"/>
      <c r="POQ92" s="133"/>
      <c r="POR92" s="133"/>
      <c r="POS92" s="133"/>
      <c r="POT92" s="133"/>
      <c r="POU92" s="133"/>
      <c r="POV92" s="133"/>
      <c r="POW92" s="133"/>
      <c r="POX92" s="133"/>
      <c r="POY92" s="133"/>
      <c r="POZ92" s="133"/>
      <c r="PPA92" s="133"/>
      <c r="PPB92" s="133"/>
      <c r="PPC92" s="133"/>
      <c r="PPD92" s="133"/>
      <c r="PPE92" s="133"/>
      <c r="PPF92" s="133"/>
      <c r="PPG92" s="133"/>
      <c r="PPH92" s="133"/>
      <c r="PPI92" s="133"/>
      <c r="PPJ92" s="133"/>
      <c r="PPK92" s="133"/>
      <c r="PPL92" s="133"/>
      <c r="PPM92" s="133"/>
      <c r="PPN92" s="133"/>
      <c r="PPO92" s="133"/>
      <c r="PPP92" s="133"/>
      <c r="PPQ92" s="133"/>
      <c r="PPR92" s="133"/>
      <c r="PPS92" s="133"/>
      <c r="PPT92" s="133"/>
      <c r="PPU92" s="133"/>
      <c r="PPV92" s="133"/>
      <c r="PPW92" s="133"/>
      <c r="PPX92" s="133"/>
      <c r="PPY92" s="133"/>
      <c r="PPZ92" s="133"/>
      <c r="PQA92" s="133"/>
      <c r="PQB92" s="133"/>
      <c r="PQC92" s="133"/>
      <c r="PQD92" s="133"/>
      <c r="PQE92" s="133"/>
      <c r="PQF92" s="133"/>
      <c r="PQG92" s="133"/>
      <c r="PQH92" s="133"/>
      <c r="PQI92" s="133"/>
      <c r="PQJ92" s="133"/>
      <c r="PQK92" s="133"/>
      <c r="PQL92" s="133"/>
      <c r="PQM92" s="133"/>
      <c r="PQN92" s="133"/>
      <c r="PQO92" s="133"/>
      <c r="PQP92" s="133"/>
      <c r="PQQ92" s="133"/>
      <c r="PQR92" s="133"/>
      <c r="PQS92" s="133"/>
      <c r="PQT92" s="133"/>
      <c r="PQU92" s="133"/>
      <c r="PQV92" s="133"/>
      <c r="PQW92" s="133"/>
      <c r="PQX92" s="133"/>
      <c r="PQY92" s="133"/>
      <c r="PQZ92" s="133"/>
      <c r="PRA92" s="133"/>
      <c r="PRB92" s="133"/>
      <c r="PRC92" s="133"/>
      <c r="PRD92" s="133"/>
      <c r="PRE92" s="133"/>
      <c r="PRF92" s="133"/>
      <c r="PRG92" s="133"/>
      <c r="PRH92" s="133"/>
      <c r="PRI92" s="133"/>
      <c r="PRJ92" s="133"/>
      <c r="PRK92" s="133"/>
      <c r="PRL92" s="133"/>
      <c r="PRM92" s="133"/>
      <c r="PRN92" s="133"/>
      <c r="PRO92" s="133"/>
      <c r="PRP92" s="133"/>
      <c r="PRQ92" s="133"/>
      <c r="PRR92" s="133"/>
      <c r="PRS92" s="133"/>
      <c r="PRT92" s="133"/>
      <c r="PRU92" s="133"/>
      <c r="PRV92" s="133"/>
      <c r="PRW92" s="133"/>
      <c r="PRX92" s="133"/>
      <c r="PRY92" s="133"/>
      <c r="PRZ92" s="133"/>
      <c r="PSA92" s="133"/>
      <c r="PSB92" s="133"/>
      <c r="PSC92" s="133"/>
      <c r="PSD92" s="133"/>
      <c r="PSE92" s="133"/>
      <c r="PSF92" s="133"/>
      <c r="PSG92" s="133"/>
      <c r="PSH92" s="133"/>
      <c r="PSI92" s="133"/>
      <c r="PSJ92" s="133"/>
      <c r="PSK92" s="133"/>
      <c r="PSL92" s="133"/>
      <c r="PSM92" s="133"/>
      <c r="PSN92" s="133"/>
      <c r="PSO92" s="133"/>
      <c r="PSP92" s="133"/>
      <c r="PSQ92" s="133"/>
      <c r="PSR92" s="133"/>
      <c r="PSS92" s="133"/>
      <c r="PST92" s="133"/>
      <c r="PSU92" s="133"/>
      <c r="PSV92" s="133"/>
      <c r="PSW92" s="133"/>
      <c r="PSX92" s="133"/>
      <c r="PSY92" s="133"/>
      <c r="PSZ92" s="133"/>
      <c r="PTA92" s="133"/>
      <c r="PTB92" s="133"/>
      <c r="PTC92" s="133"/>
      <c r="PTD92" s="133"/>
      <c r="PTE92" s="133"/>
      <c r="PTF92" s="133"/>
      <c r="PTG92" s="133"/>
      <c r="PTH92" s="133"/>
      <c r="PTI92" s="133"/>
      <c r="PTJ92" s="133"/>
      <c r="PTK92" s="133"/>
      <c r="PTL92" s="133"/>
      <c r="PTM92" s="133"/>
      <c r="PTN92" s="133"/>
      <c r="PTO92" s="133"/>
      <c r="PTP92" s="133"/>
      <c r="PTQ92" s="133"/>
      <c r="PTR92" s="133"/>
      <c r="PTS92" s="133"/>
      <c r="PTT92" s="133"/>
      <c r="PTU92" s="133"/>
      <c r="PTV92" s="133"/>
      <c r="PTW92" s="133"/>
      <c r="PTX92" s="133"/>
      <c r="PTY92" s="133"/>
      <c r="PTZ92" s="133"/>
      <c r="PUA92" s="133"/>
      <c r="PUB92" s="133"/>
      <c r="PUC92" s="133"/>
      <c r="PUD92" s="133"/>
      <c r="PUE92" s="133"/>
      <c r="PUF92" s="133"/>
      <c r="PUG92" s="133"/>
      <c r="PUH92" s="133"/>
      <c r="PUI92" s="133"/>
      <c r="PUJ92" s="133"/>
      <c r="PUK92" s="133"/>
      <c r="PUL92" s="133"/>
      <c r="PUM92" s="133"/>
      <c r="PUN92" s="133"/>
      <c r="PUO92" s="133"/>
      <c r="PUP92" s="133"/>
      <c r="PUQ92" s="133"/>
      <c r="PUR92" s="133"/>
      <c r="PUS92" s="133"/>
      <c r="PUT92" s="133"/>
      <c r="PUU92" s="133"/>
      <c r="PUV92" s="133"/>
      <c r="PUW92" s="133"/>
      <c r="PUX92" s="133"/>
      <c r="PUY92" s="133"/>
      <c r="PUZ92" s="133"/>
      <c r="PVA92" s="133"/>
      <c r="PVB92" s="133"/>
      <c r="PVC92" s="133"/>
      <c r="PVD92" s="133"/>
      <c r="PVE92" s="133"/>
      <c r="PVF92" s="133"/>
      <c r="PVG92" s="133"/>
      <c r="PVH92" s="133"/>
      <c r="PVI92" s="133"/>
      <c r="PVJ92" s="133"/>
      <c r="PVK92" s="133"/>
      <c r="PVL92" s="133"/>
      <c r="PVM92" s="133"/>
      <c r="PVN92" s="133"/>
      <c r="PVO92" s="133"/>
      <c r="PVP92" s="133"/>
      <c r="PVQ92" s="133"/>
      <c r="PVR92" s="133"/>
      <c r="PVS92" s="133"/>
      <c r="PVT92" s="133"/>
      <c r="PVU92" s="133"/>
      <c r="PVV92" s="133"/>
      <c r="PVW92" s="133"/>
      <c r="PVX92" s="133"/>
      <c r="PVY92" s="133"/>
      <c r="PVZ92" s="133"/>
      <c r="PWA92" s="133"/>
      <c r="PWB92" s="133"/>
      <c r="PWC92" s="133"/>
      <c r="PWD92" s="133"/>
      <c r="PWE92" s="133"/>
      <c r="PWF92" s="133"/>
      <c r="PWG92" s="133"/>
      <c r="PWH92" s="133"/>
      <c r="PWI92" s="133"/>
      <c r="PWJ92" s="133"/>
      <c r="PWK92" s="133"/>
      <c r="PWL92" s="133"/>
      <c r="PWM92" s="133"/>
      <c r="PWN92" s="133"/>
      <c r="PWO92" s="133"/>
      <c r="PWP92" s="133"/>
      <c r="PWQ92" s="133"/>
      <c r="PWR92" s="133"/>
      <c r="PWS92" s="133"/>
      <c r="PWT92" s="133"/>
      <c r="PWU92" s="133"/>
      <c r="PWV92" s="133"/>
      <c r="PWW92" s="133"/>
      <c r="PWX92" s="133"/>
      <c r="PWY92" s="133"/>
      <c r="PWZ92" s="133"/>
      <c r="PXA92" s="133"/>
      <c r="PXB92" s="133"/>
      <c r="PXC92" s="133"/>
      <c r="PXD92" s="133"/>
      <c r="PXE92" s="133"/>
      <c r="PXF92" s="133"/>
      <c r="PXG92" s="133"/>
      <c r="PXH92" s="133"/>
      <c r="PXI92" s="133"/>
      <c r="PXJ92" s="133"/>
      <c r="PXK92" s="133"/>
      <c r="PXL92" s="133"/>
      <c r="PXM92" s="133"/>
      <c r="PXN92" s="133"/>
      <c r="PXO92" s="133"/>
      <c r="PXP92" s="133"/>
      <c r="PXQ92" s="133"/>
      <c r="PXR92" s="133"/>
      <c r="PXS92" s="133"/>
      <c r="PXT92" s="133"/>
      <c r="PXU92" s="133"/>
      <c r="PXV92" s="133"/>
      <c r="PXW92" s="133"/>
      <c r="PXX92" s="133"/>
      <c r="PXY92" s="133"/>
      <c r="PXZ92" s="133"/>
      <c r="PYA92" s="133"/>
      <c r="PYB92" s="133"/>
      <c r="PYC92" s="133"/>
      <c r="PYD92" s="133"/>
      <c r="PYE92" s="133"/>
      <c r="PYF92" s="133"/>
      <c r="PYG92" s="133"/>
      <c r="PYH92" s="133"/>
      <c r="PYI92" s="133"/>
      <c r="PYJ92" s="133"/>
      <c r="PYK92" s="133"/>
      <c r="PYL92" s="133"/>
      <c r="PYM92" s="133"/>
      <c r="PYN92" s="133"/>
      <c r="PYO92" s="133"/>
      <c r="PYP92" s="133"/>
      <c r="PYQ92" s="133"/>
      <c r="PYR92" s="133"/>
      <c r="PYS92" s="133"/>
      <c r="PYT92" s="133"/>
      <c r="PYU92" s="133"/>
      <c r="PYV92" s="133"/>
      <c r="PYW92" s="133"/>
      <c r="PYX92" s="133"/>
      <c r="PYY92" s="133"/>
      <c r="PYZ92" s="133"/>
      <c r="PZA92" s="133"/>
      <c r="PZB92" s="133"/>
      <c r="PZC92" s="133"/>
      <c r="PZD92" s="133"/>
      <c r="PZE92" s="133"/>
      <c r="PZF92" s="133"/>
      <c r="PZG92" s="133"/>
      <c r="PZH92" s="133"/>
      <c r="PZI92" s="133"/>
      <c r="PZJ92" s="133"/>
      <c r="PZK92" s="133"/>
      <c r="PZL92" s="133"/>
      <c r="PZM92" s="133"/>
      <c r="PZN92" s="133"/>
      <c r="PZO92" s="133"/>
      <c r="PZP92" s="133"/>
      <c r="PZQ92" s="133"/>
      <c r="PZR92" s="133"/>
      <c r="PZS92" s="133"/>
      <c r="PZT92" s="133"/>
      <c r="PZU92" s="133"/>
      <c r="PZV92" s="133"/>
      <c r="PZW92" s="133"/>
      <c r="PZX92" s="133"/>
      <c r="PZY92" s="133"/>
      <c r="PZZ92" s="133"/>
      <c r="QAA92" s="133"/>
      <c r="QAB92" s="133"/>
      <c r="QAC92" s="133"/>
      <c r="QAD92" s="133"/>
      <c r="QAE92" s="133"/>
      <c r="QAF92" s="133"/>
      <c r="QAG92" s="133"/>
      <c r="QAH92" s="133"/>
      <c r="QAI92" s="133"/>
      <c r="QAJ92" s="133"/>
      <c r="QAK92" s="133"/>
      <c r="QAL92" s="133"/>
      <c r="QAM92" s="133"/>
      <c r="QAN92" s="133"/>
      <c r="QAO92" s="133"/>
      <c r="QAP92" s="133"/>
      <c r="QAQ92" s="133"/>
      <c r="QAR92" s="133"/>
      <c r="QAS92" s="133"/>
      <c r="QAT92" s="133"/>
      <c r="QAU92" s="133"/>
      <c r="QAV92" s="133"/>
      <c r="QAW92" s="133"/>
      <c r="QAX92" s="133"/>
      <c r="QAY92" s="133"/>
      <c r="QAZ92" s="133"/>
      <c r="QBA92" s="133"/>
      <c r="QBB92" s="133"/>
      <c r="QBC92" s="133"/>
      <c r="QBD92" s="133"/>
      <c r="QBE92" s="133"/>
      <c r="QBF92" s="133"/>
      <c r="QBG92" s="133"/>
      <c r="QBH92" s="133"/>
      <c r="QBI92" s="133"/>
      <c r="QBJ92" s="133"/>
      <c r="QBK92" s="133"/>
      <c r="QBL92" s="133"/>
      <c r="QBM92" s="133"/>
      <c r="QBN92" s="133"/>
      <c r="QBO92" s="133"/>
      <c r="QBP92" s="133"/>
      <c r="QBQ92" s="133"/>
      <c r="QBR92" s="133"/>
      <c r="QBS92" s="133"/>
      <c r="QBT92" s="133"/>
      <c r="QBU92" s="133"/>
      <c r="QBV92" s="133"/>
      <c r="QBW92" s="133"/>
      <c r="QBX92" s="133"/>
      <c r="QBY92" s="133"/>
      <c r="QBZ92" s="133"/>
      <c r="QCA92" s="133"/>
      <c r="QCB92" s="133"/>
      <c r="QCC92" s="133"/>
      <c r="QCD92" s="133"/>
      <c r="QCE92" s="133"/>
      <c r="QCF92" s="133"/>
      <c r="QCG92" s="133"/>
      <c r="QCH92" s="133"/>
      <c r="QCI92" s="133"/>
      <c r="QCJ92" s="133"/>
      <c r="QCK92" s="133"/>
      <c r="QCL92" s="133"/>
      <c r="QCM92" s="133"/>
      <c r="QCN92" s="133"/>
      <c r="QCO92" s="133"/>
      <c r="QCP92" s="133"/>
      <c r="QCQ92" s="133"/>
      <c r="QCR92" s="133"/>
      <c r="QCS92" s="133"/>
      <c r="QCT92" s="133"/>
      <c r="QCU92" s="133"/>
      <c r="QCV92" s="133"/>
      <c r="QCW92" s="133"/>
      <c r="QCX92" s="133"/>
      <c r="QCY92" s="133"/>
      <c r="QCZ92" s="133"/>
      <c r="QDA92" s="133"/>
      <c r="QDB92" s="133"/>
      <c r="QDC92" s="133"/>
      <c r="QDD92" s="133"/>
      <c r="QDE92" s="133"/>
      <c r="QDF92" s="133"/>
      <c r="QDG92" s="133"/>
      <c r="QDH92" s="133"/>
      <c r="QDI92" s="133"/>
      <c r="QDJ92" s="133"/>
      <c r="QDK92" s="133"/>
      <c r="QDL92" s="133"/>
      <c r="QDM92" s="133"/>
      <c r="QDN92" s="133"/>
      <c r="QDO92" s="133"/>
      <c r="QDP92" s="133"/>
      <c r="QDQ92" s="133"/>
      <c r="QDR92" s="133"/>
      <c r="QDS92" s="133"/>
      <c r="QDT92" s="133"/>
      <c r="QDU92" s="133"/>
      <c r="QDV92" s="133"/>
      <c r="QDW92" s="133"/>
      <c r="QDX92" s="133"/>
      <c r="QDY92" s="133"/>
      <c r="QDZ92" s="133"/>
      <c r="QEA92" s="133"/>
      <c r="QEB92" s="133"/>
      <c r="QEC92" s="133"/>
      <c r="QED92" s="133"/>
      <c r="QEE92" s="133"/>
      <c r="QEF92" s="133"/>
      <c r="QEG92" s="133"/>
      <c r="QEH92" s="133"/>
      <c r="QEI92" s="133"/>
      <c r="QEJ92" s="133"/>
      <c r="QEK92" s="133"/>
      <c r="QEL92" s="133"/>
      <c r="QEM92" s="133"/>
      <c r="QEN92" s="133"/>
      <c r="QEO92" s="133"/>
      <c r="QEP92" s="133"/>
      <c r="QEQ92" s="133"/>
      <c r="QER92" s="133"/>
      <c r="QES92" s="133"/>
      <c r="QET92" s="133"/>
      <c r="QEU92" s="133"/>
      <c r="QEV92" s="133"/>
      <c r="QEW92" s="133"/>
      <c r="QEX92" s="133"/>
      <c r="QEY92" s="133"/>
      <c r="QEZ92" s="133"/>
      <c r="QFA92" s="133"/>
      <c r="QFB92" s="133"/>
      <c r="QFC92" s="133"/>
      <c r="QFD92" s="133"/>
      <c r="QFE92" s="133"/>
      <c r="QFF92" s="133"/>
      <c r="QFG92" s="133"/>
      <c r="QFH92" s="133"/>
      <c r="QFI92" s="133"/>
      <c r="QFJ92" s="133"/>
      <c r="QFK92" s="133"/>
      <c r="QFL92" s="133"/>
      <c r="QFM92" s="133"/>
      <c r="QFN92" s="133"/>
      <c r="QFO92" s="133"/>
      <c r="QFP92" s="133"/>
      <c r="QFQ92" s="133"/>
      <c r="QFR92" s="133"/>
      <c r="QFS92" s="133"/>
      <c r="QFT92" s="133"/>
      <c r="QFU92" s="133"/>
      <c r="QFV92" s="133"/>
      <c r="QFW92" s="133"/>
      <c r="QFX92" s="133"/>
      <c r="QFY92" s="133"/>
      <c r="QFZ92" s="133"/>
      <c r="QGA92" s="133"/>
      <c r="QGB92" s="133"/>
      <c r="QGC92" s="133"/>
      <c r="QGD92" s="133"/>
      <c r="QGE92" s="133"/>
      <c r="QGF92" s="133"/>
      <c r="QGG92" s="133"/>
      <c r="QGH92" s="133"/>
      <c r="QGI92" s="133"/>
      <c r="QGJ92" s="133"/>
      <c r="QGK92" s="133"/>
      <c r="QGL92" s="133"/>
      <c r="QGM92" s="133"/>
      <c r="QGN92" s="133"/>
      <c r="QGO92" s="133"/>
      <c r="QGP92" s="133"/>
      <c r="QGQ92" s="133"/>
      <c r="QGR92" s="133"/>
      <c r="QGS92" s="133"/>
      <c r="QGT92" s="133"/>
      <c r="QGU92" s="133"/>
      <c r="QGV92" s="133"/>
      <c r="QGW92" s="133"/>
      <c r="QGX92" s="133"/>
      <c r="QGY92" s="133"/>
      <c r="QGZ92" s="133"/>
      <c r="QHA92" s="133"/>
      <c r="QHB92" s="133"/>
      <c r="QHC92" s="133"/>
      <c r="QHD92" s="133"/>
      <c r="QHE92" s="133"/>
      <c r="QHF92" s="133"/>
      <c r="QHG92" s="133"/>
      <c r="QHH92" s="133"/>
      <c r="QHI92" s="133"/>
      <c r="QHJ92" s="133"/>
      <c r="QHK92" s="133"/>
      <c r="QHL92" s="133"/>
      <c r="QHM92" s="133"/>
      <c r="QHN92" s="133"/>
      <c r="QHO92" s="133"/>
      <c r="QHP92" s="133"/>
      <c r="QHQ92" s="133"/>
      <c r="QHR92" s="133"/>
      <c r="QHS92" s="133"/>
      <c r="QHT92" s="133"/>
      <c r="QHU92" s="133"/>
      <c r="QHV92" s="133"/>
      <c r="QHW92" s="133"/>
      <c r="QHX92" s="133"/>
      <c r="QHY92" s="133"/>
      <c r="QHZ92" s="133"/>
      <c r="QIA92" s="133"/>
      <c r="QIB92" s="133"/>
      <c r="QIC92" s="133"/>
      <c r="QID92" s="133"/>
      <c r="QIE92" s="133"/>
      <c r="QIF92" s="133"/>
      <c r="QIG92" s="133"/>
      <c r="QIH92" s="133"/>
      <c r="QII92" s="133"/>
      <c r="QIJ92" s="133"/>
      <c r="QIK92" s="133"/>
      <c r="QIL92" s="133"/>
      <c r="QIM92" s="133"/>
      <c r="QIN92" s="133"/>
      <c r="QIO92" s="133"/>
      <c r="QIP92" s="133"/>
      <c r="QIQ92" s="133"/>
      <c r="QIR92" s="133"/>
      <c r="QIS92" s="133"/>
      <c r="QIT92" s="133"/>
      <c r="QIU92" s="133"/>
      <c r="QIV92" s="133"/>
      <c r="QIW92" s="133"/>
      <c r="QIX92" s="133"/>
      <c r="QIY92" s="133"/>
      <c r="QIZ92" s="133"/>
      <c r="QJA92" s="133"/>
      <c r="QJB92" s="133"/>
      <c r="QJC92" s="133"/>
      <c r="QJD92" s="133"/>
      <c r="QJE92" s="133"/>
      <c r="QJF92" s="133"/>
      <c r="QJG92" s="133"/>
      <c r="QJH92" s="133"/>
      <c r="QJI92" s="133"/>
      <c r="QJJ92" s="133"/>
      <c r="QJK92" s="133"/>
      <c r="QJL92" s="133"/>
      <c r="QJM92" s="133"/>
      <c r="QJN92" s="133"/>
      <c r="QJO92" s="133"/>
      <c r="QJP92" s="133"/>
      <c r="QJQ92" s="133"/>
      <c r="QJR92" s="133"/>
      <c r="QJS92" s="133"/>
      <c r="QJT92" s="133"/>
      <c r="QJU92" s="133"/>
      <c r="QJV92" s="133"/>
      <c r="QJW92" s="133"/>
      <c r="QJX92" s="133"/>
      <c r="QJY92" s="133"/>
      <c r="QJZ92" s="133"/>
      <c r="QKA92" s="133"/>
      <c r="QKB92" s="133"/>
      <c r="QKC92" s="133"/>
      <c r="QKD92" s="133"/>
      <c r="QKE92" s="133"/>
      <c r="QKF92" s="133"/>
      <c r="QKG92" s="133"/>
      <c r="QKH92" s="133"/>
      <c r="QKI92" s="133"/>
      <c r="QKJ92" s="133"/>
      <c r="QKK92" s="133"/>
      <c r="QKL92" s="133"/>
      <c r="QKM92" s="133"/>
      <c r="QKN92" s="133"/>
      <c r="QKO92" s="133"/>
      <c r="QKP92" s="133"/>
      <c r="QKQ92" s="133"/>
      <c r="QKR92" s="133"/>
      <c r="QKS92" s="133"/>
      <c r="QKT92" s="133"/>
      <c r="QKU92" s="133"/>
      <c r="QKV92" s="133"/>
      <c r="QKW92" s="133"/>
      <c r="QKX92" s="133"/>
      <c r="QKY92" s="133"/>
      <c r="QKZ92" s="133"/>
      <c r="QLA92" s="133"/>
      <c r="QLB92" s="133"/>
      <c r="QLC92" s="133"/>
      <c r="QLD92" s="133"/>
      <c r="QLE92" s="133"/>
      <c r="QLF92" s="133"/>
      <c r="QLG92" s="133"/>
      <c r="QLH92" s="133"/>
      <c r="QLI92" s="133"/>
      <c r="QLJ92" s="133"/>
      <c r="QLK92" s="133"/>
      <c r="QLL92" s="133"/>
      <c r="QLM92" s="133"/>
      <c r="QLN92" s="133"/>
      <c r="QLO92" s="133"/>
      <c r="QLP92" s="133"/>
      <c r="QLQ92" s="133"/>
      <c r="QLR92" s="133"/>
      <c r="QLS92" s="133"/>
      <c r="QLT92" s="133"/>
      <c r="QLU92" s="133"/>
      <c r="QLV92" s="133"/>
      <c r="QLW92" s="133"/>
      <c r="QLX92" s="133"/>
      <c r="QLY92" s="133"/>
      <c r="QLZ92" s="133"/>
      <c r="QMA92" s="133"/>
      <c r="QMB92" s="133"/>
      <c r="QMC92" s="133"/>
      <c r="QMD92" s="133"/>
      <c r="QME92" s="133"/>
      <c r="QMF92" s="133"/>
      <c r="QMG92" s="133"/>
      <c r="QMH92" s="133"/>
      <c r="QMI92" s="133"/>
      <c r="QMJ92" s="133"/>
      <c r="QMK92" s="133"/>
      <c r="QML92" s="133"/>
      <c r="QMM92" s="133"/>
      <c r="QMN92" s="133"/>
      <c r="QMO92" s="133"/>
      <c r="QMP92" s="133"/>
      <c r="QMQ92" s="133"/>
      <c r="QMR92" s="133"/>
      <c r="QMS92" s="133"/>
      <c r="QMT92" s="133"/>
      <c r="QMU92" s="133"/>
      <c r="QMV92" s="133"/>
      <c r="QMW92" s="133"/>
      <c r="QMX92" s="133"/>
      <c r="QMY92" s="133"/>
      <c r="QMZ92" s="133"/>
      <c r="QNA92" s="133"/>
      <c r="QNB92" s="133"/>
      <c r="QNC92" s="133"/>
      <c r="QND92" s="133"/>
      <c r="QNE92" s="133"/>
      <c r="QNF92" s="133"/>
      <c r="QNG92" s="133"/>
      <c r="QNH92" s="133"/>
      <c r="QNI92" s="133"/>
      <c r="QNJ92" s="133"/>
      <c r="QNK92" s="133"/>
      <c r="QNL92" s="133"/>
      <c r="QNM92" s="133"/>
      <c r="QNN92" s="133"/>
      <c r="QNO92" s="133"/>
      <c r="QNP92" s="133"/>
      <c r="QNQ92" s="133"/>
      <c r="QNR92" s="133"/>
      <c r="QNS92" s="133"/>
      <c r="QNT92" s="133"/>
      <c r="QNU92" s="133"/>
      <c r="QNV92" s="133"/>
      <c r="QNW92" s="133"/>
      <c r="QNX92" s="133"/>
      <c r="QNY92" s="133"/>
      <c r="QNZ92" s="133"/>
      <c r="QOA92" s="133"/>
      <c r="QOB92" s="133"/>
      <c r="QOC92" s="133"/>
      <c r="QOD92" s="133"/>
      <c r="QOE92" s="133"/>
      <c r="QOF92" s="133"/>
      <c r="QOG92" s="133"/>
      <c r="QOH92" s="133"/>
      <c r="QOI92" s="133"/>
      <c r="QOJ92" s="133"/>
      <c r="QOK92" s="133"/>
      <c r="QOL92" s="133"/>
      <c r="QOM92" s="133"/>
      <c r="QON92" s="133"/>
      <c r="QOO92" s="133"/>
      <c r="QOP92" s="133"/>
      <c r="QOQ92" s="133"/>
      <c r="QOR92" s="133"/>
      <c r="QOS92" s="133"/>
      <c r="QOT92" s="133"/>
      <c r="QOU92" s="133"/>
      <c r="QOV92" s="133"/>
      <c r="QOW92" s="133"/>
      <c r="QOX92" s="133"/>
      <c r="QOY92" s="133"/>
      <c r="QOZ92" s="133"/>
      <c r="QPA92" s="133"/>
      <c r="QPB92" s="133"/>
      <c r="QPC92" s="133"/>
      <c r="QPD92" s="133"/>
      <c r="QPE92" s="133"/>
      <c r="QPF92" s="133"/>
      <c r="QPG92" s="133"/>
      <c r="QPH92" s="133"/>
      <c r="QPI92" s="133"/>
      <c r="QPJ92" s="133"/>
      <c r="QPK92" s="133"/>
      <c r="QPL92" s="133"/>
      <c r="QPM92" s="133"/>
      <c r="QPN92" s="133"/>
      <c r="QPO92" s="133"/>
      <c r="QPP92" s="133"/>
      <c r="QPQ92" s="133"/>
      <c r="QPR92" s="133"/>
      <c r="QPS92" s="133"/>
      <c r="QPT92" s="133"/>
      <c r="QPU92" s="133"/>
      <c r="QPV92" s="133"/>
      <c r="QPW92" s="133"/>
      <c r="QPX92" s="133"/>
      <c r="QPY92" s="133"/>
      <c r="QPZ92" s="133"/>
      <c r="QQA92" s="133"/>
      <c r="QQB92" s="133"/>
      <c r="QQC92" s="133"/>
      <c r="QQD92" s="133"/>
      <c r="QQE92" s="133"/>
      <c r="QQF92" s="133"/>
      <c r="QQG92" s="133"/>
      <c r="QQH92" s="133"/>
      <c r="QQI92" s="133"/>
      <c r="QQJ92" s="133"/>
      <c r="QQK92" s="133"/>
      <c r="QQL92" s="133"/>
      <c r="QQM92" s="133"/>
      <c r="QQN92" s="133"/>
      <c r="QQO92" s="133"/>
      <c r="QQP92" s="133"/>
      <c r="QQQ92" s="133"/>
      <c r="QQR92" s="133"/>
      <c r="QQS92" s="133"/>
      <c r="QQT92" s="133"/>
      <c r="QQU92" s="133"/>
      <c r="QQV92" s="133"/>
      <c r="QQW92" s="133"/>
      <c r="QQX92" s="133"/>
      <c r="QQY92" s="133"/>
      <c r="QQZ92" s="133"/>
      <c r="QRA92" s="133"/>
      <c r="QRB92" s="133"/>
      <c r="QRC92" s="133"/>
      <c r="QRD92" s="133"/>
      <c r="QRE92" s="133"/>
      <c r="QRF92" s="133"/>
      <c r="QRG92" s="133"/>
      <c r="QRH92" s="133"/>
      <c r="QRI92" s="133"/>
      <c r="QRJ92" s="133"/>
      <c r="QRK92" s="133"/>
      <c r="QRL92" s="133"/>
      <c r="QRM92" s="133"/>
      <c r="QRN92" s="133"/>
      <c r="QRO92" s="133"/>
      <c r="QRP92" s="133"/>
      <c r="QRQ92" s="133"/>
      <c r="QRR92" s="133"/>
      <c r="QRS92" s="133"/>
      <c r="QRT92" s="133"/>
      <c r="QRU92" s="133"/>
      <c r="QRV92" s="133"/>
      <c r="QRW92" s="133"/>
      <c r="QRX92" s="133"/>
      <c r="QRY92" s="133"/>
      <c r="QRZ92" s="133"/>
      <c r="QSA92" s="133"/>
      <c r="QSB92" s="133"/>
      <c r="QSC92" s="133"/>
      <c r="QSD92" s="133"/>
      <c r="QSE92" s="133"/>
      <c r="QSF92" s="133"/>
      <c r="QSG92" s="133"/>
      <c r="QSH92" s="133"/>
      <c r="QSI92" s="133"/>
      <c r="QSJ92" s="133"/>
      <c r="QSK92" s="133"/>
      <c r="QSL92" s="133"/>
      <c r="QSM92" s="133"/>
      <c r="QSN92" s="133"/>
      <c r="QSO92" s="133"/>
      <c r="QSP92" s="133"/>
      <c r="QSQ92" s="133"/>
      <c r="QSR92" s="133"/>
      <c r="QSS92" s="133"/>
      <c r="QST92" s="133"/>
      <c r="QSU92" s="133"/>
      <c r="QSV92" s="133"/>
      <c r="QSW92" s="133"/>
      <c r="QSX92" s="133"/>
      <c r="QSY92" s="133"/>
      <c r="QSZ92" s="133"/>
      <c r="QTA92" s="133"/>
      <c r="QTB92" s="133"/>
      <c r="QTC92" s="133"/>
      <c r="QTD92" s="133"/>
      <c r="QTE92" s="133"/>
      <c r="QTF92" s="133"/>
      <c r="QTG92" s="133"/>
      <c r="QTH92" s="133"/>
      <c r="QTI92" s="133"/>
      <c r="QTJ92" s="133"/>
      <c r="QTK92" s="133"/>
      <c r="QTL92" s="133"/>
      <c r="QTM92" s="133"/>
      <c r="QTN92" s="133"/>
      <c r="QTO92" s="133"/>
      <c r="QTP92" s="133"/>
      <c r="QTQ92" s="133"/>
      <c r="QTR92" s="133"/>
      <c r="QTS92" s="133"/>
      <c r="QTT92" s="133"/>
      <c r="QTU92" s="133"/>
      <c r="QTV92" s="133"/>
      <c r="QTW92" s="133"/>
      <c r="QTX92" s="133"/>
      <c r="QTY92" s="133"/>
      <c r="QTZ92" s="133"/>
      <c r="QUA92" s="133"/>
      <c r="QUB92" s="133"/>
      <c r="QUC92" s="133"/>
      <c r="QUD92" s="133"/>
      <c r="QUE92" s="133"/>
      <c r="QUF92" s="133"/>
      <c r="QUG92" s="133"/>
      <c r="QUH92" s="133"/>
      <c r="QUI92" s="133"/>
      <c r="QUJ92" s="133"/>
      <c r="QUK92" s="133"/>
      <c r="QUL92" s="133"/>
      <c r="QUM92" s="133"/>
      <c r="QUN92" s="133"/>
      <c r="QUO92" s="133"/>
      <c r="QUP92" s="133"/>
      <c r="QUQ92" s="133"/>
      <c r="QUR92" s="133"/>
      <c r="QUS92" s="133"/>
      <c r="QUT92" s="133"/>
      <c r="QUU92" s="133"/>
      <c r="QUV92" s="133"/>
      <c r="QUW92" s="133"/>
      <c r="QUX92" s="133"/>
      <c r="QUY92" s="133"/>
      <c r="QUZ92" s="133"/>
      <c r="QVA92" s="133"/>
      <c r="QVB92" s="133"/>
      <c r="QVC92" s="133"/>
      <c r="QVD92" s="133"/>
      <c r="QVE92" s="133"/>
      <c r="QVF92" s="133"/>
      <c r="QVG92" s="133"/>
      <c r="QVH92" s="133"/>
      <c r="QVI92" s="133"/>
      <c r="QVJ92" s="133"/>
      <c r="QVK92" s="133"/>
      <c r="QVL92" s="133"/>
      <c r="QVM92" s="133"/>
      <c r="QVN92" s="133"/>
      <c r="QVO92" s="133"/>
      <c r="QVP92" s="133"/>
      <c r="QVQ92" s="133"/>
      <c r="QVR92" s="133"/>
      <c r="QVS92" s="133"/>
      <c r="QVT92" s="133"/>
      <c r="QVU92" s="133"/>
      <c r="QVV92" s="133"/>
      <c r="QVW92" s="133"/>
      <c r="QVX92" s="133"/>
      <c r="QVY92" s="133"/>
      <c r="QVZ92" s="133"/>
      <c r="QWA92" s="133"/>
      <c r="QWB92" s="133"/>
      <c r="QWC92" s="133"/>
      <c r="QWD92" s="133"/>
      <c r="QWE92" s="133"/>
      <c r="QWF92" s="133"/>
      <c r="QWG92" s="133"/>
      <c r="QWH92" s="133"/>
      <c r="QWI92" s="133"/>
      <c r="QWJ92" s="133"/>
      <c r="QWK92" s="133"/>
      <c r="QWL92" s="133"/>
      <c r="QWM92" s="133"/>
      <c r="QWN92" s="133"/>
      <c r="QWO92" s="133"/>
      <c r="QWP92" s="133"/>
      <c r="QWQ92" s="133"/>
      <c r="QWR92" s="133"/>
      <c r="QWS92" s="133"/>
      <c r="QWT92" s="133"/>
      <c r="QWU92" s="133"/>
      <c r="QWV92" s="133"/>
      <c r="QWW92" s="133"/>
      <c r="QWX92" s="133"/>
      <c r="QWY92" s="133"/>
      <c r="QWZ92" s="133"/>
      <c r="QXA92" s="133"/>
      <c r="QXB92" s="133"/>
      <c r="QXC92" s="133"/>
      <c r="QXD92" s="133"/>
      <c r="QXE92" s="133"/>
      <c r="QXF92" s="133"/>
      <c r="QXG92" s="133"/>
      <c r="QXH92" s="133"/>
      <c r="QXI92" s="133"/>
      <c r="QXJ92" s="133"/>
      <c r="QXK92" s="133"/>
      <c r="QXL92" s="133"/>
      <c r="QXM92" s="133"/>
      <c r="QXN92" s="133"/>
      <c r="QXO92" s="133"/>
      <c r="QXP92" s="133"/>
      <c r="QXQ92" s="133"/>
      <c r="QXR92" s="133"/>
      <c r="QXS92" s="133"/>
      <c r="QXT92" s="133"/>
      <c r="QXU92" s="133"/>
      <c r="QXV92" s="133"/>
      <c r="QXW92" s="133"/>
      <c r="QXX92" s="133"/>
      <c r="QXY92" s="133"/>
      <c r="QXZ92" s="133"/>
      <c r="QYA92" s="133"/>
      <c r="QYB92" s="133"/>
      <c r="QYC92" s="133"/>
      <c r="QYD92" s="133"/>
      <c r="QYE92" s="133"/>
      <c r="QYF92" s="133"/>
      <c r="QYG92" s="133"/>
      <c r="QYH92" s="133"/>
      <c r="QYI92" s="133"/>
      <c r="QYJ92" s="133"/>
      <c r="QYK92" s="133"/>
      <c r="QYL92" s="133"/>
      <c r="QYM92" s="133"/>
      <c r="QYN92" s="133"/>
      <c r="QYO92" s="133"/>
      <c r="QYP92" s="133"/>
      <c r="QYQ92" s="133"/>
      <c r="QYR92" s="133"/>
      <c r="QYS92" s="133"/>
      <c r="QYT92" s="133"/>
      <c r="QYU92" s="133"/>
      <c r="QYV92" s="133"/>
      <c r="QYW92" s="133"/>
      <c r="QYX92" s="133"/>
      <c r="QYY92" s="133"/>
      <c r="QYZ92" s="133"/>
      <c r="QZA92" s="133"/>
      <c r="QZB92" s="133"/>
      <c r="QZC92" s="133"/>
      <c r="QZD92" s="133"/>
      <c r="QZE92" s="133"/>
      <c r="QZF92" s="133"/>
      <c r="QZG92" s="133"/>
      <c r="QZH92" s="133"/>
      <c r="QZI92" s="133"/>
      <c r="QZJ92" s="133"/>
      <c r="QZK92" s="133"/>
      <c r="QZL92" s="133"/>
      <c r="QZM92" s="133"/>
      <c r="QZN92" s="133"/>
      <c r="QZO92" s="133"/>
      <c r="QZP92" s="133"/>
      <c r="QZQ92" s="133"/>
      <c r="QZR92" s="133"/>
      <c r="QZS92" s="133"/>
      <c r="QZT92" s="133"/>
      <c r="QZU92" s="133"/>
      <c r="QZV92" s="133"/>
      <c r="QZW92" s="133"/>
      <c r="QZX92" s="133"/>
      <c r="QZY92" s="133"/>
      <c r="QZZ92" s="133"/>
      <c r="RAA92" s="133"/>
      <c r="RAB92" s="133"/>
      <c r="RAC92" s="133"/>
      <c r="RAD92" s="133"/>
      <c r="RAE92" s="133"/>
      <c r="RAF92" s="133"/>
      <c r="RAG92" s="133"/>
      <c r="RAH92" s="133"/>
      <c r="RAI92" s="133"/>
      <c r="RAJ92" s="133"/>
      <c r="RAK92" s="133"/>
      <c r="RAL92" s="133"/>
      <c r="RAM92" s="133"/>
      <c r="RAN92" s="133"/>
      <c r="RAO92" s="133"/>
      <c r="RAP92" s="133"/>
      <c r="RAQ92" s="133"/>
      <c r="RAR92" s="133"/>
      <c r="RAS92" s="133"/>
      <c r="RAT92" s="133"/>
      <c r="RAU92" s="133"/>
      <c r="RAV92" s="133"/>
      <c r="RAW92" s="133"/>
      <c r="RAX92" s="133"/>
      <c r="RAY92" s="133"/>
      <c r="RAZ92" s="133"/>
      <c r="RBA92" s="133"/>
      <c r="RBB92" s="133"/>
      <c r="RBC92" s="133"/>
      <c r="RBD92" s="133"/>
      <c r="RBE92" s="133"/>
      <c r="RBF92" s="133"/>
      <c r="RBG92" s="133"/>
      <c r="RBH92" s="133"/>
      <c r="RBI92" s="133"/>
      <c r="RBJ92" s="133"/>
      <c r="RBK92" s="133"/>
      <c r="RBL92" s="133"/>
      <c r="RBM92" s="133"/>
      <c r="RBN92" s="133"/>
      <c r="RBO92" s="133"/>
      <c r="RBP92" s="133"/>
      <c r="RBQ92" s="133"/>
      <c r="RBR92" s="133"/>
      <c r="RBS92" s="133"/>
      <c r="RBT92" s="133"/>
      <c r="RBU92" s="133"/>
      <c r="RBV92" s="133"/>
      <c r="RBW92" s="133"/>
      <c r="RBX92" s="133"/>
      <c r="RBY92" s="133"/>
      <c r="RBZ92" s="133"/>
      <c r="RCA92" s="133"/>
      <c r="RCB92" s="133"/>
      <c r="RCC92" s="133"/>
      <c r="RCD92" s="133"/>
      <c r="RCE92" s="133"/>
      <c r="RCF92" s="133"/>
      <c r="RCG92" s="133"/>
      <c r="RCH92" s="133"/>
      <c r="RCI92" s="133"/>
      <c r="RCJ92" s="133"/>
      <c r="RCK92" s="133"/>
      <c r="RCL92" s="133"/>
      <c r="RCM92" s="133"/>
      <c r="RCN92" s="133"/>
      <c r="RCO92" s="133"/>
      <c r="RCP92" s="133"/>
      <c r="RCQ92" s="133"/>
      <c r="RCR92" s="133"/>
      <c r="RCS92" s="133"/>
      <c r="RCT92" s="133"/>
      <c r="RCU92" s="133"/>
      <c r="RCV92" s="133"/>
      <c r="RCW92" s="133"/>
      <c r="RCX92" s="133"/>
      <c r="RCY92" s="133"/>
      <c r="RCZ92" s="133"/>
      <c r="RDA92" s="133"/>
      <c r="RDB92" s="133"/>
      <c r="RDC92" s="133"/>
      <c r="RDD92" s="133"/>
      <c r="RDE92" s="133"/>
      <c r="RDF92" s="133"/>
      <c r="RDG92" s="133"/>
      <c r="RDH92" s="133"/>
      <c r="RDI92" s="133"/>
      <c r="RDJ92" s="133"/>
      <c r="RDK92" s="133"/>
      <c r="RDL92" s="133"/>
      <c r="RDM92" s="133"/>
      <c r="RDN92" s="133"/>
      <c r="RDO92" s="133"/>
      <c r="RDP92" s="133"/>
      <c r="RDQ92" s="133"/>
      <c r="RDR92" s="133"/>
      <c r="RDS92" s="133"/>
      <c r="RDT92" s="133"/>
      <c r="RDU92" s="133"/>
      <c r="RDV92" s="133"/>
      <c r="RDW92" s="133"/>
      <c r="RDX92" s="133"/>
      <c r="RDY92" s="133"/>
      <c r="RDZ92" s="133"/>
      <c r="REA92" s="133"/>
      <c r="REB92" s="133"/>
      <c r="REC92" s="133"/>
      <c r="RED92" s="133"/>
      <c r="REE92" s="133"/>
      <c r="REF92" s="133"/>
      <c r="REG92" s="133"/>
      <c r="REH92" s="133"/>
      <c r="REI92" s="133"/>
      <c r="REJ92" s="133"/>
      <c r="REK92" s="133"/>
      <c r="REL92" s="133"/>
      <c r="REM92" s="133"/>
      <c r="REN92" s="133"/>
      <c r="REO92" s="133"/>
      <c r="REP92" s="133"/>
      <c r="REQ92" s="133"/>
      <c r="RER92" s="133"/>
      <c r="RES92" s="133"/>
      <c r="RET92" s="133"/>
      <c r="REU92" s="133"/>
      <c r="REV92" s="133"/>
      <c r="REW92" s="133"/>
      <c r="REX92" s="133"/>
      <c r="REY92" s="133"/>
      <c r="REZ92" s="133"/>
      <c r="RFA92" s="133"/>
      <c r="RFB92" s="133"/>
      <c r="RFC92" s="133"/>
      <c r="RFD92" s="133"/>
      <c r="RFE92" s="133"/>
      <c r="RFF92" s="133"/>
      <c r="RFG92" s="133"/>
      <c r="RFH92" s="133"/>
      <c r="RFI92" s="133"/>
      <c r="RFJ92" s="133"/>
      <c r="RFK92" s="133"/>
      <c r="RFL92" s="133"/>
      <c r="RFM92" s="133"/>
      <c r="RFN92" s="133"/>
      <c r="RFO92" s="133"/>
      <c r="RFP92" s="133"/>
      <c r="RFQ92" s="133"/>
      <c r="RFR92" s="133"/>
      <c r="RFS92" s="133"/>
      <c r="RFT92" s="133"/>
      <c r="RFU92" s="133"/>
      <c r="RFV92" s="133"/>
      <c r="RFW92" s="133"/>
      <c r="RFX92" s="133"/>
      <c r="RFY92" s="133"/>
      <c r="RFZ92" s="133"/>
      <c r="RGA92" s="133"/>
      <c r="RGB92" s="133"/>
      <c r="RGC92" s="133"/>
      <c r="RGD92" s="133"/>
      <c r="RGE92" s="133"/>
      <c r="RGF92" s="133"/>
      <c r="RGG92" s="133"/>
      <c r="RGH92" s="133"/>
      <c r="RGI92" s="133"/>
      <c r="RGJ92" s="133"/>
      <c r="RGK92" s="133"/>
      <c r="RGL92" s="133"/>
      <c r="RGM92" s="133"/>
      <c r="RGN92" s="133"/>
      <c r="RGO92" s="133"/>
      <c r="RGP92" s="133"/>
      <c r="RGQ92" s="133"/>
      <c r="RGR92" s="133"/>
      <c r="RGS92" s="133"/>
      <c r="RGT92" s="133"/>
      <c r="RGU92" s="133"/>
      <c r="RGV92" s="133"/>
      <c r="RGW92" s="133"/>
      <c r="RGX92" s="133"/>
      <c r="RGY92" s="133"/>
      <c r="RGZ92" s="133"/>
      <c r="RHA92" s="133"/>
      <c r="RHB92" s="133"/>
      <c r="RHC92" s="133"/>
      <c r="RHD92" s="133"/>
      <c r="RHE92" s="133"/>
      <c r="RHF92" s="133"/>
      <c r="RHG92" s="133"/>
      <c r="RHH92" s="133"/>
      <c r="RHI92" s="133"/>
      <c r="RHJ92" s="133"/>
      <c r="RHK92" s="133"/>
      <c r="RHL92" s="133"/>
      <c r="RHM92" s="133"/>
      <c r="RHN92" s="133"/>
      <c r="RHO92" s="133"/>
      <c r="RHP92" s="133"/>
      <c r="RHQ92" s="133"/>
      <c r="RHR92" s="133"/>
      <c r="RHS92" s="133"/>
      <c r="RHT92" s="133"/>
      <c r="RHU92" s="133"/>
      <c r="RHV92" s="133"/>
      <c r="RHW92" s="133"/>
      <c r="RHX92" s="133"/>
      <c r="RHY92" s="133"/>
      <c r="RHZ92" s="133"/>
      <c r="RIA92" s="133"/>
      <c r="RIB92" s="133"/>
      <c r="RIC92" s="133"/>
      <c r="RID92" s="133"/>
      <c r="RIE92" s="133"/>
      <c r="RIF92" s="133"/>
      <c r="RIG92" s="133"/>
      <c r="RIH92" s="133"/>
      <c r="RII92" s="133"/>
      <c r="RIJ92" s="133"/>
      <c r="RIK92" s="133"/>
      <c r="RIL92" s="133"/>
      <c r="RIM92" s="133"/>
      <c r="RIN92" s="133"/>
      <c r="RIO92" s="133"/>
      <c r="RIP92" s="133"/>
      <c r="RIQ92" s="133"/>
      <c r="RIR92" s="133"/>
      <c r="RIS92" s="133"/>
      <c r="RIT92" s="133"/>
      <c r="RIU92" s="133"/>
      <c r="RIV92" s="133"/>
      <c r="RIW92" s="133"/>
      <c r="RIX92" s="133"/>
      <c r="RIY92" s="133"/>
      <c r="RIZ92" s="133"/>
      <c r="RJA92" s="133"/>
      <c r="RJB92" s="133"/>
      <c r="RJC92" s="133"/>
      <c r="RJD92" s="133"/>
      <c r="RJE92" s="133"/>
      <c r="RJF92" s="133"/>
      <c r="RJG92" s="133"/>
      <c r="RJH92" s="133"/>
      <c r="RJI92" s="133"/>
      <c r="RJJ92" s="133"/>
      <c r="RJK92" s="133"/>
      <c r="RJL92" s="133"/>
      <c r="RJM92" s="133"/>
      <c r="RJN92" s="133"/>
      <c r="RJO92" s="133"/>
      <c r="RJP92" s="133"/>
      <c r="RJQ92" s="133"/>
      <c r="RJR92" s="133"/>
      <c r="RJS92" s="133"/>
      <c r="RJT92" s="133"/>
      <c r="RJU92" s="133"/>
      <c r="RJV92" s="133"/>
      <c r="RJW92" s="133"/>
      <c r="RJX92" s="133"/>
      <c r="RJY92" s="133"/>
      <c r="RJZ92" s="133"/>
      <c r="RKA92" s="133"/>
      <c r="RKB92" s="133"/>
      <c r="RKC92" s="133"/>
      <c r="RKD92" s="133"/>
      <c r="RKE92" s="133"/>
      <c r="RKF92" s="133"/>
      <c r="RKG92" s="133"/>
      <c r="RKH92" s="133"/>
      <c r="RKI92" s="133"/>
      <c r="RKJ92" s="133"/>
      <c r="RKK92" s="133"/>
      <c r="RKL92" s="133"/>
      <c r="RKM92" s="133"/>
      <c r="RKN92" s="133"/>
      <c r="RKO92" s="133"/>
      <c r="RKP92" s="133"/>
      <c r="RKQ92" s="133"/>
      <c r="RKR92" s="133"/>
      <c r="RKS92" s="133"/>
      <c r="RKT92" s="133"/>
      <c r="RKU92" s="133"/>
      <c r="RKV92" s="133"/>
      <c r="RKW92" s="133"/>
      <c r="RKX92" s="133"/>
      <c r="RKY92" s="133"/>
      <c r="RKZ92" s="133"/>
      <c r="RLA92" s="133"/>
      <c r="RLB92" s="133"/>
      <c r="RLC92" s="133"/>
      <c r="RLD92" s="133"/>
      <c r="RLE92" s="133"/>
      <c r="RLF92" s="133"/>
      <c r="RLG92" s="133"/>
      <c r="RLH92" s="133"/>
      <c r="RLI92" s="133"/>
      <c r="RLJ92" s="133"/>
      <c r="RLK92" s="133"/>
      <c r="RLL92" s="133"/>
      <c r="RLM92" s="133"/>
      <c r="RLN92" s="133"/>
      <c r="RLO92" s="133"/>
      <c r="RLP92" s="133"/>
      <c r="RLQ92" s="133"/>
      <c r="RLR92" s="133"/>
      <c r="RLS92" s="133"/>
      <c r="RLT92" s="133"/>
      <c r="RLU92" s="133"/>
      <c r="RLV92" s="133"/>
      <c r="RLW92" s="133"/>
      <c r="RLX92" s="133"/>
      <c r="RLY92" s="133"/>
      <c r="RLZ92" s="133"/>
      <c r="RMA92" s="133"/>
      <c r="RMB92" s="133"/>
      <c r="RMC92" s="133"/>
      <c r="RMD92" s="133"/>
      <c r="RME92" s="133"/>
      <c r="RMF92" s="133"/>
      <c r="RMG92" s="133"/>
      <c r="RMH92" s="133"/>
      <c r="RMI92" s="133"/>
      <c r="RMJ92" s="133"/>
      <c r="RMK92" s="133"/>
      <c r="RML92" s="133"/>
      <c r="RMM92" s="133"/>
      <c r="RMN92" s="133"/>
      <c r="RMO92" s="133"/>
      <c r="RMP92" s="133"/>
      <c r="RMQ92" s="133"/>
      <c r="RMR92" s="133"/>
      <c r="RMS92" s="133"/>
      <c r="RMT92" s="133"/>
      <c r="RMU92" s="133"/>
      <c r="RMV92" s="133"/>
      <c r="RMW92" s="133"/>
      <c r="RMX92" s="133"/>
      <c r="RMY92" s="133"/>
      <c r="RMZ92" s="133"/>
      <c r="RNA92" s="133"/>
      <c r="RNB92" s="133"/>
      <c r="RNC92" s="133"/>
      <c r="RND92" s="133"/>
      <c r="RNE92" s="133"/>
      <c r="RNF92" s="133"/>
      <c r="RNG92" s="133"/>
      <c r="RNH92" s="133"/>
      <c r="RNI92" s="133"/>
      <c r="RNJ92" s="133"/>
      <c r="RNK92" s="133"/>
      <c r="RNL92" s="133"/>
      <c r="RNM92" s="133"/>
      <c r="RNN92" s="133"/>
      <c r="RNO92" s="133"/>
      <c r="RNP92" s="133"/>
      <c r="RNQ92" s="133"/>
      <c r="RNR92" s="133"/>
      <c r="RNS92" s="133"/>
      <c r="RNT92" s="133"/>
      <c r="RNU92" s="133"/>
      <c r="RNV92" s="133"/>
      <c r="RNW92" s="133"/>
      <c r="RNX92" s="133"/>
      <c r="RNY92" s="133"/>
      <c r="RNZ92" s="133"/>
      <c r="ROA92" s="133"/>
      <c r="ROB92" s="133"/>
      <c r="ROC92" s="133"/>
      <c r="ROD92" s="133"/>
      <c r="ROE92" s="133"/>
      <c r="ROF92" s="133"/>
      <c r="ROG92" s="133"/>
      <c r="ROH92" s="133"/>
      <c r="ROI92" s="133"/>
      <c r="ROJ92" s="133"/>
      <c r="ROK92" s="133"/>
      <c r="ROL92" s="133"/>
      <c r="ROM92" s="133"/>
      <c r="RON92" s="133"/>
      <c r="ROO92" s="133"/>
      <c r="ROP92" s="133"/>
      <c r="ROQ92" s="133"/>
      <c r="ROR92" s="133"/>
      <c r="ROS92" s="133"/>
      <c r="ROT92" s="133"/>
      <c r="ROU92" s="133"/>
      <c r="ROV92" s="133"/>
      <c r="ROW92" s="133"/>
      <c r="ROX92" s="133"/>
      <c r="ROY92" s="133"/>
      <c r="ROZ92" s="133"/>
      <c r="RPA92" s="133"/>
      <c r="RPB92" s="133"/>
      <c r="RPC92" s="133"/>
      <c r="RPD92" s="133"/>
      <c r="RPE92" s="133"/>
      <c r="RPF92" s="133"/>
      <c r="RPG92" s="133"/>
      <c r="RPH92" s="133"/>
      <c r="RPI92" s="133"/>
      <c r="RPJ92" s="133"/>
      <c r="RPK92" s="133"/>
      <c r="RPL92" s="133"/>
      <c r="RPM92" s="133"/>
      <c r="RPN92" s="133"/>
      <c r="RPO92" s="133"/>
      <c r="RPP92" s="133"/>
      <c r="RPQ92" s="133"/>
      <c r="RPR92" s="133"/>
      <c r="RPS92" s="133"/>
      <c r="RPT92" s="133"/>
      <c r="RPU92" s="133"/>
      <c r="RPV92" s="133"/>
      <c r="RPW92" s="133"/>
      <c r="RPX92" s="133"/>
      <c r="RPY92" s="133"/>
      <c r="RPZ92" s="133"/>
      <c r="RQA92" s="133"/>
      <c r="RQB92" s="133"/>
      <c r="RQC92" s="133"/>
      <c r="RQD92" s="133"/>
      <c r="RQE92" s="133"/>
      <c r="RQF92" s="133"/>
      <c r="RQG92" s="133"/>
      <c r="RQH92" s="133"/>
      <c r="RQI92" s="133"/>
      <c r="RQJ92" s="133"/>
      <c r="RQK92" s="133"/>
      <c r="RQL92" s="133"/>
      <c r="RQM92" s="133"/>
      <c r="RQN92" s="133"/>
      <c r="RQO92" s="133"/>
      <c r="RQP92" s="133"/>
      <c r="RQQ92" s="133"/>
      <c r="RQR92" s="133"/>
      <c r="RQS92" s="133"/>
      <c r="RQT92" s="133"/>
      <c r="RQU92" s="133"/>
      <c r="RQV92" s="133"/>
      <c r="RQW92" s="133"/>
      <c r="RQX92" s="133"/>
      <c r="RQY92" s="133"/>
      <c r="RQZ92" s="133"/>
      <c r="RRA92" s="133"/>
      <c r="RRB92" s="133"/>
      <c r="RRC92" s="133"/>
      <c r="RRD92" s="133"/>
      <c r="RRE92" s="133"/>
      <c r="RRF92" s="133"/>
      <c r="RRG92" s="133"/>
      <c r="RRH92" s="133"/>
      <c r="RRI92" s="133"/>
      <c r="RRJ92" s="133"/>
      <c r="RRK92" s="133"/>
      <c r="RRL92" s="133"/>
      <c r="RRM92" s="133"/>
      <c r="RRN92" s="133"/>
      <c r="RRO92" s="133"/>
      <c r="RRP92" s="133"/>
      <c r="RRQ92" s="133"/>
      <c r="RRR92" s="133"/>
      <c r="RRS92" s="133"/>
      <c r="RRT92" s="133"/>
      <c r="RRU92" s="133"/>
      <c r="RRV92" s="133"/>
      <c r="RRW92" s="133"/>
      <c r="RRX92" s="133"/>
      <c r="RRY92" s="133"/>
      <c r="RRZ92" s="133"/>
      <c r="RSA92" s="133"/>
      <c r="RSB92" s="133"/>
      <c r="RSC92" s="133"/>
      <c r="RSD92" s="133"/>
      <c r="RSE92" s="133"/>
      <c r="RSF92" s="133"/>
      <c r="RSG92" s="133"/>
      <c r="RSH92" s="133"/>
      <c r="RSI92" s="133"/>
      <c r="RSJ92" s="133"/>
      <c r="RSK92" s="133"/>
      <c r="RSL92" s="133"/>
      <c r="RSM92" s="133"/>
      <c r="RSN92" s="133"/>
      <c r="RSO92" s="133"/>
      <c r="RSP92" s="133"/>
      <c r="RSQ92" s="133"/>
      <c r="RSR92" s="133"/>
      <c r="RSS92" s="133"/>
      <c r="RST92" s="133"/>
      <c r="RSU92" s="133"/>
      <c r="RSV92" s="133"/>
      <c r="RSW92" s="133"/>
      <c r="RSX92" s="133"/>
      <c r="RSY92" s="133"/>
      <c r="RSZ92" s="133"/>
      <c r="RTA92" s="133"/>
      <c r="RTB92" s="133"/>
      <c r="RTC92" s="133"/>
      <c r="RTD92" s="133"/>
      <c r="RTE92" s="133"/>
      <c r="RTF92" s="133"/>
      <c r="RTG92" s="133"/>
      <c r="RTH92" s="133"/>
      <c r="RTI92" s="133"/>
      <c r="RTJ92" s="133"/>
      <c r="RTK92" s="133"/>
      <c r="RTL92" s="133"/>
      <c r="RTM92" s="133"/>
      <c r="RTN92" s="133"/>
      <c r="RTO92" s="133"/>
      <c r="RTP92" s="133"/>
      <c r="RTQ92" s="133"/>
      <c r="RTR92" s="133"/>
      <c r="RTS92" s="133"/>
      <c r="RTT92" s="133"/>
      <c r="RTU92" s="133"/>
      <c r="RTV92" s="133"/>
      <c r="RTW92" s="133"/>
      <c r="RTX92" s="133"/>
      <c r="RTY92" s="133"/>
      <c r="RTZ92" s="133"/>
      <c r="RUA92" s="133"/>
      <c r="RUB92" s="133"/>
      <c r="RUC92" s="133"/>
      <c r="RUD92" s="133"/>
      <c r="RUE92" s="133"/>
      <c r="RUF92" s="133"/>
      <c r="RUG92" s="133"/>
      <c r="RUH92" s="133"/>
      <c r="RUI92" s="133"/>
      <c r="RUJ92" s="133"/>
      <c r="RUK92" s="133"/>
      <c r="RUL92" s="133"/>
      <c r="RUM92" s="133"/>
      <c r="RUN92" s="133"/>
      <c r="RUO92" s="133"/>
      <c r="RUP92" s="133"/>
      <c r="RUQ92" s="133"/>
      <c r="RUR92" s="133"/>
      <c r="RUS92" s="133"/>
      <c r="RUT92" s="133"/>
      <c r="RUU92" s="133"/>
      <c r="RUV92" s="133"/>
      <c r="RUW92" s="133"/>
      <c r="RUX92" s="133"/>
      <c r="RUY92" s="133"/>
      <c r="RUZ92" s="133"/>
      <c r="RVA92" s="133"/>
      <c r="RVB92" s="133"/>
      <c r="RVC92" s="133"/>
      <c r="RVD92" s="133"/>
      <c r="RVE92" s="133"/>
      <c r="RVF92" s="133"/>
      <c r="RVG92" s="133"/>
      <c r="RVH92" s="133"/>
      <c r="RVI92" s="133"/>
      <c r="RVJ92" s="133"/>
      <c r="RVK92" s="133"/>
      <c r="RVL92" s="133"/>
      <c r="RVM92" s="133"/>
      <c r="RVN92" s="133"/>
      <c r="RVO92" s="133"/>
      <c r="RVP92" s="133"/>
      <c r="RVQ92" s="133"/>
      <c r="RVR92" s="133"/>
      <c r="RVS92" s="133"/>
      <c r="RVT92" s="133"/>
      <c r="RVU92" s="133"/>
      <c r="RVV92" s="133"/>
      <c r="RVW92" s="133"/>
      <c r="RVX92" s="133"/>
      <c r="RVY92" s="133"/>
      <c r="RVZ92" s="133"/>
      <c r="RWA92" s="133"/>
      <c r="RWB92" s="133"/>
      <c r="RWC92" s="133"/>
      <c r="RWD92" s="133"/>
      <c r="RWE92" s="133"/>
      <c r="RWF92" s="133"/>
      <c r="RWG92" s="133"/>
      <c r="RWH92" s="133"/>
      <c r="RWI92" s="133"/>
      <c r="RWJ92" s="133"/>
      <c r="RWK92" s="133"/>
      <c r="RWL92" s="133"/>
      <c r="RWM92" s="133"/>
      <c r="RWN92" s="133"/>
      <c r="RWO92" s="133"/>
      <c r="RWP92" s="133"/>
      <c r="RWQ92" s="133"/>
      <c r="RWR92" s="133"/>
      <c r="RWS92" s="133"/>
      <c r="RWT92" s="133"/>
      <c r="RWU92" s="133"/>
      <c r="RWV92" s="133"/>
      <c r="RWW92" s="133"/>
      <c r="RWX92" s="133"/>
      <c r="RWY92" s="133"/>
      <c r="RWZ92" s="133"/>
      <c r="RXA92" s="133"/>
      <c r="RXB92" s="133"/>
      <c r="RXC92" s="133"/>
      <c r="RXD92" s="133"/>
      <c r="RXE92" s="133"/>
      <c r="RXF92" s="133"/>
      <c r="RXG92" s="133"/>
      <c r="RXH92" s="133"/>
      <c r="RXI92" s="133"/>
      <c r="RXJ92" s="133"/>
      <c r="RXK92" s="133"/>
      <c r="RXL92" s="133"/>
      <c r="RXM92" s="133"/>
      <c r="RXN92" s="133"/>
      <c r="RXO92" s="133"/>
      <c r="RXP92" s="133"/>
      <c r="RXQ92" s="133"/>
      <c r="RXR92" s="133"/>
      <c r="RXS92" s="133"/>
      <c r="RXT92" s="133"/>
      <c r="RXU92" s="133"/>
      <c r="RXV92" s="133"/>
      <c r="RXW92" s="133"/>
      <c r="RXX92" s="133"/>
      <c r="RXY92" s="133"/>
      <c r="RXZ92" s="133"/>
      <c r="RYA92" s="133"/>
      <c r="RYB92" s="133"/>
      <c r="RYC92" s="133"/>
      <c r="RYD92" s="133"/>
      <c r="RYE92" s="133"/>
      <c r="RYF92" s="133"/>
      <c r="RYG92" s="133"/>
      <c r="RYH92" s="133"/>
      <c r="RYI92" s="133"/>
      <c r="RYJ92" s="133"/>
      <c r="RYK92" s="133"/>
      <c r="RYL92" s="133"/>
      <c r="RYM92" s="133"/>
      <c r="RYN92" s="133"/>
      <c r="RYO92" s="133"/>
      <c r="RYP92" s="133"/>
      <c r="RYQ92" s="133"/>
      <c r="RYR92" s="133"/>
      <c r="RYS92" s="133"/>
      <c r="RYT92" s="133"/>
      <c r="RYU92" s="133"/>
      <c r="RYV92" s="133"/>
      <c r="RYW92" s="133"/>
      <c r="RYX92" s="133"/>
      <c r="RYY92" s="133"/>
      <c r="RYZ92" s="133"/>
      <c r="RZA92" s="133"/>
      <c r="RZB92" s="133"/>
      <c r="RZC92" s="133"/>
      <c r="RZD92" s="133"/>
      <c r="RZE92" s="133"/>
      <c r="RZF92" s="133"/>
      <c r="RZG92" s="133"/>
      <c r="RZH92" s="133"/>
      <c r="RZI92" s="133"/>
      <c r="RZJ92" s="133"/>
      <c r="RZK92" s="133"/>
      <c r="RZL92" s="133"/>
      <c r="RZM92" s="133"/>
      <c r="RZN92" s="133"/>
      <c r="RZO92" s="133"/>
      <c r="RZP92" s="133"/>
      <c r="RZQ92" s="133"/>
      <c r="RZR92" s="133"/>
      <c r="RZS92" s="133"/>
      <c r="RZT92" s="133"/>
      <c r="RZU92" s="133"/>
      <c r="RZV92" s="133"/>
      <c r="RZW92" s="133"/>
      <c r="RZX92" s="133"/>
      <c r="RZY92" s="133"/>
      <c r="RZZ92" s="133"/>
      <c r="SAA92" s="133"/>
      <c r="SAB92" s="133"/>
      <c r="SAC92" s="133"/>
      <c r="SAD92" s="133"/>
      <c r="SAE92" s="133"/>
      <c r="SAF92" s="133"/>
      <c r="SAG92" s="133"/>
      <c r="SAH92" s="133"/>
      <c r="SAI92" s="133"/>
      <c r="SAJ92" s="133"/>
      <c r="SAK92" s="133"/>
      <c r="SAL92" s="133"/>
      <c r="SAM92" s="133"/>
      <c r="SAN92" s="133"/>
      <c r="SAO92" s="133"/>
      <c r="SAP92" s="133"/>
      <c r="SAQ92" s="133"/>
      <c r="SAR92" s="133"/>
      <c r="SAS92" s="133"/>
      <c r="SAT92" s="133"/>
      <c r="SAU92" s="133"/>
      <c r="SAV92" s="133"/>
      <c r="SAW92" s="133"/>
      <c r="SAX92" s="133"/>
      <c r="SAY92" s="133"/>
      <c r="SAZ92" s="133"/>
      <c r="SBA92" s="133"/>
      <c r="SBB92" s="133"/>
      <c r="SBC92" s="133"/>
      <c r="SBD92" s="133"/>
      <c r="SBE92" s="133"/>
      <c r="SBF92" s="133"/>
      <c r="SBG92" s="133"/>
      <c r="SBH92" s="133"/>
      <c r="SBI92" s="133"/>
      <c r="SBJ92" s="133"/>
      <c r="SBK92" s="133"/>
      <c r="SBL92" s="133"/>
      <c r="SBM92" s="133"/>
      <c r="SBN92" s="133"/>
      <c r="SBO92" s="133"/>
      <c r="SBP92" s="133"/>
      <c r="SBQ92" s="133"/>
      <c r="SBR92" s="133"/>
      <c r="SBS92" s="133"/>
      <c r="SBT92" s="133"/>
      <c r="SBU92" s="133"/>
      <c r="SBV92" s="133"/>
      <c r="SBW92" s="133"/>
      <c r="SBX92" s="133"/>
      <c r="SBY92" s="133"/>
      <c r="SBZ92" s="133"/>
      <c r="SCA92" s="133"/>
      <c r="SCB92" s="133"/>
      <c r="SCC92" s="133"/>
      <c r="SCD92" s="133"/>
      <c r="SCE92" s="133"/>
      <c r="SCF92" s="133"/>
      <c r="SCG92" s="133"/>
      <c r="SCH92" s="133"/>
      <c r="SCI92" s="133"/>
      <c r="SCJ92" s="133"/>
      <c r="SCK92" s="133"/>
      <c r="SCL92" s="133"/>
      <c r="SCM92" s="133"/>
      <c r="SCN92" s="133"/>
      <c r="SCO92" s="133"/>
      <c r="SCP92" s="133"/>
      <c r="SCQ92" s="133"/>
      <c r="SCR92" s="133"/>
      <c r="SCS92" s="133"/>
      <c r="SCT92" s="133"/>
      <c r="SCU92" s="133"/>
      <c r="SCV92" s="133"/>
      <c r="SCW92" s="133"/>
      <c r="SCX92" s="133"/>
      <c r="SCY92" s="133"/>
      <c r="SCZ92" s="133"/>
      <c r="SDA92" s="133"/>
      <c r="SDB92" s="133"/>
      <c r="SDC92" s="133"/>
      <c r="SDD92" s="133"/>
      <c r="SDE92" s="133"/>
      <c r="SDF92" s="133"/>
      <c r="SDG92" s="133"/>
      <c r="SDH92" s="133"/>
      <c r="SDI92" s="133"/>
      <c r="SDJ92" s="133"/>
      <c r="SDK92" s="133"/>
      <c r="SDL92" s="133"/>
      <c r="SDM92" s="133"/>
      <c r="SDN92" s="133"/>
      <c r="SDO92" s="133"/>
      <c r="SDP92" s="133"/>
      <c r="SDQ92" s="133"/>
      <c r="SDR92" s="133"/>
      <c r="SDS92" s="133"/>
      <c r="SDT92" s="133"/>
      <c r="SDU92" s="133"/>
      <c r="SDV92" s="133"/>
      <c r="SDW92" s="133"/>
      <c r="SDX92" s="133"/>
      <c r="SDY92" s="133"/>
      <c r="SDZ92" s="133"/>
      <c r="SEA92" s="133"/>
      <c r="SEB92" s="133"/>
      <c r="SEC92" s="133"/>
      <c r="SED92" s="133"/>
      <c r="SEE92" s="133"/>
      <c r="SEF92" s="133"/>
      <c r="SEG92" s="133"/>
      <c r="SEH92" s="133"/>
      <c r="SEI92" s="133"/>
      <c r="SEJ92" s="133"/>
      <c r="SEK92" s="133"/>
      <c r="SEL92" s="133"/>
      <c r="SEM92" s="133"/>
      <c r="SEN92" s="133"/>
      <c r="SEO92" s="133"/>
      <c r="SEP92" s="133"/>
      <c r="SEQ92" s="133"/>
      <c r="SER92" s="133"/>
      <c r="SES92" s="133"/>
      <c r="SET92" s="133"/>
      <c r="SEU92" s="133"/>
      <c r="SEV92" s="133"/>
      <c r="SEW92" s="133"/>
      <c r="SEX92" s="133"/>
      <c r="SEY92" s="133"/>
      <c r="SEZ92" s="133"/>
      <c r="SFA92" s="133"/>
      <c r="SFB92" s="133"/>
      <c r="SFC92" s="133"/>
      <c r="SFD92" s="133"/>
      <c r="SFE92" s="133"/>
      <c r="SFF92" s="133"/>
      <c r="SFG92" s="133"/>
      <c r="SFH92" s="133"/>
      <c r="SFI92" s="133"/>
      <c r="SFJ92" s="133"/>
      <c r="SFK92" s="133"/>
      <c r="SFL92" s="133"/>
      <c r="SFM92" s="133"/>
      <c r="SFN92" s="133"/>
      <c r="SFO92" s="133"/>
      <c r="SFP92" s="133"/>
      <c r="SFQ92" s="133"/>
      <c r="SFR92" s="133"/>
      <c r="SFS92" s="133"/>
      <c r="SFT92" s="133"/>
      <c r="SFU92" s="133"/>
      <c r="SFV92" s="133"/>
      <c r="SFW92" s="133"/>
      <c r="SFX92" s="133"/>
      <c r="SFY92" s="133"/>
      <c r="SFZ92" s="133"/>
      <c r="SGA92" s="133"/>
      <c r="SGB92" s="133"/>
      <c r="SGC92" s="133"/>
      <c r="SGD92" s="133"/>
      <c r="SGE92" s="133"/>
      <c r="SGF92" s="133"/>
      <c r="SGG92" s="133"/>
      <c r="SGH92" s="133"/>
      <c r="SGI92" s="133"/>
      <c r="SGJ92" s="133"/>
      <c r="SGK92" s="133"/>
      <c r="SGL92" s="133"/>
      <c r="SGM92" s="133"/>
      <c r="SGN92" s="133"/>
      <c r="SGO92" s="133"/>
      <c r="SGP92" s="133"/>
      <c r="SGQ92" s="133"/>
      <c r="SGR92" s="133"/>
      <c r="SGS92" s="133"/>
      <c r="SGT92" s="133"/>
      <c r="SGU92" s="133"/>
      <c r="SGV92" s="133"/>
      <c r="SGW92" s="133"/>
      <c r="SGX92" s="133"/>
      <c r="SGY92" s="133"/>
      <c r="SGZ92" s="133"/>
      <c r="SHA92" s="133"/>
      <c r="SHB92" s="133"/>
      <c r="SHC92" s="133"/>
      <c r="SHD92" s="133"/>
      <c r="SHE92" s="133"/>
      <c r="SHF92" s="133"/>
      <c r="SHG92" s="133"/>
      <c r="SHH92" s="133"/>
      <c r="SHI92" s="133"/>
      <c r="SHJ92" s="133"/>
      <c r="SHK92" s="133"/>
      <c r="SHL92" s="133"/>
      <c r="SHM92" s="133"/>
      <c r="SHN92" s="133"/>
      <c r="SHO92" s="133"/>
      <c r="SHP92" s="133"/>
      <c r="SHQ92" s="133"/>
      <c r="SHR92" s="133"/>
      <c r="SHS92" s="133"/>
      <c r="SHT92" s="133"/>
      <c r="SHU92" s="133"/>
      <c r="SHV92" s="133"/>
      <c r="SHW92" s="133"/>
      <c r="SHX92" s="133"/>
      <c r="SHY92" s="133"/>
      <c r="SHZ92" s="133"/>
      <c r="SIA92" s="133"/>
      <c r="SIB92" s="133"/>
      <c r="SIC92" s="133"/>
      <c r="SID92" s="133"/>
      <c r="SIE92" s="133"/>
      <c r="SIF92" s="133"/>
      <c r="SIG92" s="133"/>
      <c r="SIH92" s="133"/>
      <c r="SII92" s="133"/>
      <c r="SIJ92" s="133"/>
      <c r="SIK92" s="133"/>
      <c r="SIL92" s="133"/>
      <c r="SIM92" s="133"/>
      <c r="SIN92" s="133"/>
      <c r="SIO92" s="133"/>
      <c r="SIP92" s="133"/>
      <c r="SIQ92" s="133"/>
      <c r="SIR92" s="133"/>
      <c r="SIS92" s="133"/>
      <c r="SIT92" s="133"/>
      <c r="SIU92" s="133"/>
      <c r="SIV92" s="133"/>
      <c r="SIW92" s="133"/>
      <c r="SIX92" s="133"/>
      <c r="SIY92" s="133"/>
      <c r="SIZ92" s="133"/>
      <c r="SJA92" s="133"/>
      <c r="SJB92" s="133"/>
      <c r="SJC92" s="133"/>
      <c r="SJD92" s="133"/>
      <c r="SJE92" s="133"/>
      <c r="SJF92" s="133"/>
      <c r="SJG92" s="133"/>
      <c r="SJH92" s="133"/>
      <c r="SJI92" s="133"/>
      <c r="SJJ92" s="133"/>
      <c r="SJK92" s="133"/>
      <c r="SJL92" s="133"/>
      <c r="SJM92" s="133"/>
      <c r="SJN92" s="133"/>
      <c r="SJO92" s="133"/>
      <c r="SJP92" s="133"/>
      <c r="SJQ92" s="133"/>
      <c r="SJR92" s="133"/>
      <c r="SJS92" s="133"/>
      <c r="SJT92" s="133"/>
      <c r="SJU92" s="133"/>
      <c r="SJV92" s="133"/>
      <c r="SJW92" s="133"/>
      <c r="SJX92" s="133"/>
      <c r="SJY92" s="133"/>
      <c r="SJZ92" s="133"/>
      <c r="SKA92" s="133"/>
      <c r="SKB92" s="133"/>
      <c r="SKC92" s="133"/>
      <c r="SKD92" s="133"/>
      <c r="SKE92" s="133"/>
      <c r="SKF92" s="133"/>
      <c r="SKG92" s="133"/>
      <c r="SKH92" s="133"/>
      <c r="SKI92" s="133"/>
      <c r="SKJ92" s="133"/>
      <c r="SKK92" s="133"/>
      <c r="SKL92" s="133"/>
      <c r="SKM92" s="133"/>
      <c r="SKN92" s="133"/>
      <c r="SKO92" s="133"/>
      <c r="SKP92" s="133"/>
      <c r="SKQ92" s="133"/>
      <c r="SKR92" s="133"/>
      <c r="SKS92" s="133"/>
      <c r="SKT92" s="133"/>
      <c r="SKU92" s="133"/>
      <c r="SKV92" s="133"/>
      <c r="SKW92" s="133"/>
      <c r="SKX92" s="133"/>
      <c r="SKY92" s="133"/>
      <c r="SKZ92" s="133"/>
      <c r="SLA92" s="133"/>
      <c r="SLB92" s="133"/>
      <c r="SLC92" s="133"/>
      <c r="SLD92" s="133"/>
      <c r="SLE92" s="133"/>
      <c r="SLF92" s="133"/>
      <c r="SLG92" s="133"/>
      <c r="SLH92" s="133"/>
      <c r="SLI92" s="133"/>
      <c r="SLJ92" s="133"/>
      <c r="SLK92" s="133"/>
      <c r="SLL92" s="133"/>
      <c r="SLM92" s="133"/>
      <c r="SLN92" s="133"/>
      <c r="SLO92" s="133"/>
      <c r="SLP92" s="133"/>
      <c r="SLQ92" s="133"/>
      <c r="SLR92" s="133"/>
      <c r="SLS92" s="133"/>
      <c r="SLT92" s="133"/>
      <c r="SLU92" s="133"/>
      <c r="SLV92" s="133"/>
      <c r="SLW92" s="133"/>
      <c r="SLX92" s="133"/>
      <c r="SLY92" s="133"/>
      <c r="SLZ92" s="133"/>
      <c r="SMA92" s="133"/>
      <c r="SMB92" s="133"/>
      <c r="SMC92" s="133"/>
      <c r="SMD92" s="133"/>
      <c r="SME92" s="133"/>
      <c r="SMF92" s="133"/>
      <c r="SMG92" s="133"/>
      <c r="SMH92" s="133"/>
      <c r="SMI92" s="133"/>
      <c r="SMJ92" s="133"/>
      <c r="SMK92" s="133"/>
      <c r="SML92" s="133"/>
      <c r="SMM92" s="133"/>
      <c r="SMN92" s="133"/>
      <c r="SMO92" s="133"/>
      <c r="SMP92" s="133"/>
      <c r="SMQ92" s="133"/>
      <c r="SMR92" s="133"/>
      <c r="SMS92" s="133"/>
      <c r="SMT92" s="133"/>
      <c r="SMU92" s="133"/>
      <c r="SMV92" s="133"/>
      <c r="SMW92" s="133"/>
      <c r="SMX92" s="133"/>
      <c r="SMY92" s="133"/>
      <c r="SMZ92" s="133"/>
      <c r="SNA92" s="133"/>
      <c r="SNB92" s="133"/>
      <c r="SNC92" s="133"/>
      <c r="SND92" s="133"/>
      <c r="SNE92" s="133"/>
      <c r="SNF92" s="133"/>
      <c r="SNG92" s="133"/>
      <c r="SNH92" s="133"/>
      <c r="SNI92" s="133"/>
      <c r="SNJ92" s="133"/>
      <c r="SNK92" s="133"/>
      <c r="SNL92" s="133"/>
      <c r="SNM92" s="133"/>
      <c r="SNN92" s="133"/>
      <c r="SNO92" s="133"/>
      <c r="SNP92" s="133"/>
      <c r="SNQ92" s="133"/>
      <c r="SNR92" s="133"/>
      <c r="SNS92" s="133"/>
      <c r="SNT92" s="133"/>
      <c r="SNU92" s="133"/>
      <c r="SNV92" s="133"/>
      <c r="SNW92" s="133"/>
      <c r="SNX92" s="133"/>
      <c r="SNY92" s="133"/>
      <c r="SNZ92" s="133"/>
      <c r="SOA92" s="133"/>
      <c r="SOB92" s="133"/>
      <c r="SOC92" s="133"/>
      <c r="SOD92" s="133"/>
      <c r="SOE92" s="133"/>
      <c r="SOF92" s="133"/>
      <c r="SOG92" s="133"/>
      <c r="SOH92" s="133"/>
      <c r="SOI92" s="133"/>
      <c r="SOJ92" s="133"/>
      <c r="SOK92" s="133"/>
      <c r="SOL92" s="133"/>
      <c r="SOM92" s="133"/>
      <c r="SON92" s="133"/>
      <c r="SOO92" s="133"/>
      <c r="SOP92" s="133"/>
      <c r="SOQ92" s="133"/>
      <c r="SOR92" s="133"/>
      <c r="SOS92" s="133"/>
      <c r="SOT92" s="133"/>
      <c r="SOU92" s="133"/>
      <c r="SOV92" s="133"/>
      <c r="SOW92" s="133"/>
      <c r="SOX92" s="133"/>
      <c r="SOY92" s="133"/>
      <c r="SOZ92" s="133"/>
      <c r="SPA92" s="133"/>
      <c r="SPB92" s="133"/>
      <c r="SPC92" s="133"/>
      <c r="SPD92" s="133"/>
      <c r="SPE92" s="133"/>
      <c r="SPF92" s="133"/>
      <c r="SPG92" s="133"/>
      <c r="SPH92" s="133"/>
      <c r="SPI92" s="133"/>
      <c r="SPJ92" s="133"/>
      <c r="SPK92" s="133"/>
      <c r="SPL92" s="133"/>
      <c r="SPM92" s="133"/>
      <c r="SPN92" s="133"/>
      <c r="SPO92" s="133"/>
      <c r="SPP92" s="133"/>
      <c r="SPQ92" s="133"/>
      <c r="SPR92" s="133"/>
      <c r="SPS92" s="133"/>
      <c r="SPT92" s="133"/>
      <c r="SPU92" s="133"/>
      <c r="SPV92" s="133"/>
      <c r="SPW92" s="133"/>
      <c r="SPX92" s="133"/>
      <c r="SPY92" s="133"/>
      <c r="SPZ92" s="133"/>
      <c r="SQA92" s="133"/>
      <c r="SQB92" s="133"/>
      <c r="SQC92" s="133"/>
      <c r="SQD92" s="133"/>
      <c r="SQE92" s="133"/>
      <c r="SQF92" s="133"/>
      <c r="SQG92" s="133"/>
      <c r="SQH92" s="133"/>
      <c r="SQI92" s="133"/>
      <c r="SQJ92" s="133"/>
      <c r="SQK92" s="133"/>
      <c r="SQL92" s="133"/>
      <c r="SQM92" s="133"/>
      <c r="SQN92" s="133"/>
      <c r="SQO92" s="133"/>
      <c r="SQP92" s="133"/>
      <c r="SQQ92" s="133"/>
      <c r="SQR92" s="133"/>
      <c r="SQS92" s="133"/>
      <c r="SQT92" s="133"/>
      <c r="SQU92" s="133"/>
      <c r="SQV92" s="133"/>
      <c r="SQW92" s="133"/>
      <c r="SQX92" s="133"/>
      <c r="SQY92" s="133"/>
      <c r="SQZ92" s="133"/>
      <c r="SRA92" s="133"/>
      <c r="SRB92" s="133"/>
      <c r="SRC92" s="133"/>
      <c r="SRD92" s="133"/>
      <c r="SRE92" s="133"/>
      <c r="SRF92" s="133"/>
      <c r="SRG92" s="133"/>
      <c r="SRH92" s="133"/>
      <c r="SRI92" s="133"/>
      <c r="SRJ92" s="133"/>
      <c r="SRK92" s="133"/>
      <c r="SRL92" s="133"/>
      <c r="SRM92" s="133"/>
      <c r="SRN92" s="133"/>
      <c r="SRO92" s="133"/>
      <c r="SRP92" s="133"/>
      <c r="SRQ92" s="133"/>
      <c r="SRR92" s="133"/>
      <c r="SRS92" s="133"/>
      <c r="SRT92" s="133"/>
      <c r="SRU92" s="133"/>
      <c r="SRV92" s="133"/>
      <c r="SRW92" s="133"/>
      <c r="SRX92" s="133"/>
      <c r="SRY92" s="133"/>
      <c r="SRZ92" s="133"/>
      <c r="SSA92" s="133"/>
      <c r="SSB92" s="133"/>
      <c r="SSC92" s="133"/>
      <c r="SSD92" s="133"/>
      <c r="SSE92" s="133"/>
      <c r="SSF92" s="133"/>
      <c r="SSG92" s="133"/>
      <c r="SSH92" s="133"/>
      <c r="SSI92" s="133"/>
      <c r="SSJ92" s="133"/>
      <c r="SSK92" s="133"/>
      <c r="SSL92" s="133"/>
      <c r="SSM92" s="133"/>
      <c r="SSN92" s="133"/>
      <c r="SSO92" s="133"/>
      <c r="SSP92" s="133"/>
      <c r="SSQ92" s="133"/>
      <c r="SSR92" s="133"/>
      <c r="SSS92" s="133"/>
      <c r="SST92" s="133"/>
      <c r="SSU92" s="133"/>
      <c r="SSV92" s="133"/>
      <c r="SSW92" s="133"/>
      <c r="SSX92" s="133"/>
      <c r="SSY92" s="133"/>
      <c r="SSZ92" s="133"/>
      <c r="STA92" s="133"/>
      <c r="STB92" s="133"/>
      <c r="STC92" s="133"/>
      <c r="STD92" s="133"/>
      <c r="STE92" s="133"/>
      <c r="STF92" s="133"/>
      <c r="STG92" s="133"/>
      <c r="STH92" s="133"/>
      <c r="STI92" s="133"/>
      <c r="STJ92" s="133"/>
      <c r="STK92" s="133"/>
      <c r="STL92" s="133"/>
      <c r="STM92" s="133"/>
      <c r="STN92" s="133"/>
      <c r="STO92" s="133"/>
      <c r="STP92" s="133"/>
      <c r="STQ92" s="133"/>
      <c r="STR92" s="133"/>
      <c r="STS92" s="133"/>
      <c r="STT92" s="133"/>
      <c r="STU92" s="133"/>
      <c r="STV92" s="133"/>
      <c r="STW92" s="133"/>
      <c r="STX92" s="133"/>
      <c r="STY92" s="133"/>
      <c r="STZ92" s="133"/>
      <c r="SUA92" s="133"/>
      <c r="SUB92" s="133"/>
      <c r="SUC92" s="133"/>
      <c r="SUD92" s="133"/>
      <c r="SUE92" s="133"/>
      <c r="SUF92" s="133"/>
      <c r="SUG92" s="133"/>
      <c r="SUH92" s="133"/>
      <c r="SUI92" s="133"/>
      <c r="SUJ92" s="133"/>
      <c r="SUK92" s="133"/>
      <c r="SUL92" s="133"/>
      <c r="SUM92" s="133"/>
      <c r="SUN92" s="133"/>
      <c r="SUO92" s="133"/>
      <c r="SUP92" s="133"/>
      <c r="SUQ92" s="133"/>
      <c r="SUR92" s="133"/>
      <c r="SUS92" s="133"/>
      <c r="SUT92" s="133"/>
      <c r="SUU92" s="133"/>
      <c r="SUV92" s="133"/>
      <c r="SUW92" s="133"/>
      <c r="SUX92" s="133"/>
      <c r="SUY92" s="133"/>
      <c r="SUZ92" s="133"/>
      <c r="SVA92" s="133"/>
      <c r="SVB92" s="133"/>
      <c r="SVC92" s="133"/>
      <c r="SVD92" s="133"/>
      <c r="SVE92" s="133"/>
      <c r="SVF92" s="133"/>
      <c r="SVG92" s="133"/>
      <c r="SVH92" s="133"/>
      <c r="SVI92" s="133"/>
      <c r="SVJ92" s="133"/>
      <c r="SVK92" s="133"/>
      <c r="SVL92" s="133"/>
      <c r="SVM92" s="133"/>
      <c r="SVN92" s="133"/>
      <c r="SVO92" s="133"/>
      <c r="SVP92" s="133"/>
      <c r="SVQ92" s="133"/>
      <c r="SVR92" s="133"/>
      <c r="SVS92" s="133"/>
      <c r="SVT92" s="133"/>
      <c r="SVU92" s="133"/>
      <c r="SVV92" s="133"/>
      <c r="SVW92" s="133"/>
      <c r="SVX92" s="133"/>
      <c r="SVY92" s="133"/>
      <c r="SVZ92" s="133"/>
      <c r="SWA92" s="133"/>
      <c r="SWB92" s="133"/>
      <c r="SWC92" s="133"/>
      <c r="SWD92" s="133"/>
      <c r="SWE92" s="133"/>
      <c r="SWF92" s="133"/>
      <c r="SWG92" s="133"/>
      <c r="SWH92" s="133"/>
      <c r="SWI92" s="133"/>
      <c r="SWJ92" s="133"/>
      <c r="SWK92" s="133"/>
      <c r="SWL92" s="133"/>
      <c r="SWM92" s="133"/>
      <c r="SWN92" s="133"/>
      <c r="SWO92" s="133"/>
      <c r="SWP92" s="133"/>
      <c r="SWQ92" s="133"/>
      <c r="SWR92" s="133"/>
      <c r="SWS92" s="133"/>
      <c r="SWT92" s="133"/>
      <c r="SWU92" s="133"/>
      <c r="SWV92" s="133"/>
      <c r="SWW92" s="133"/>
      <c r="SWX92" s="133"/>
      <c r="SWY92" s="133"/>
      <c r="SWZ92" s="133"/>
      <c r="SXA92" s="133"/>
      <c r="SXB92" s="133"/>
      <c r="SXC92" s="133"/>
      <c r="SXD92" s="133"/>
      <c r="SXE92" s="133"/>
      <c r="SXF92" s="133"/>
      <c r="SXG92" s="133"/>
      <c r="SXH92" s="133"/>
      <c r="SXI92" s="133"/>
      <c r="SXJ92" s="133"/>
      <c r="SXK92" s="133"/>
      <c r="SXL92" s="133"/>
      <c r="SXM92" s="133"/>
      <c r="SXN92" s="133"/>
      <c r="SXO92" s="133"/>
      <c r="SXP92" s="133"/>
      <c r="SXQ92" s="133"/>
      <c r="SXR92" s="133"/>
      <c r="SXS92" s="133"/>
      <c r="SXT92" s="133"/>
      <c r="SXU92" s="133"/>
      <c r="SXV92" s="133"/>
      <c r="SXW92" s="133"/>
      <c r="SXX92" s="133"/>
      <c r="SXY92" s="133"/>
      <c r="SXZ92" s="133"/>
      <c r="SYA92" s="133"/>
      <c r="SYB92" s="133"/>
      <c r="SYC92" s="133"/>
      <c r="SYD92" s="133"/>
      <c r="SYE92" s="133"/>
      <c r="SYF92" s="133"/>
      <c r="SYG92" s="133"/>
      <c r="SYH92" s="133"/>
      <c r="SYI92" s="133"/>
      <c r="SYJ92" s="133"/>
      <c r="SYK92" s="133"/>
      <c r="SYL92" s="133"/>
      <c r="SYM92" s="133"/>
      <c r="SYN92" s="133"/>
      <c r="SYO92" s="133"/>
      <c r="SYP92" s="133"/>
      <c r="SYQ92" s="133"/>
      <c r="SYR92" s="133"/>
      <c r="SYS92" s="133"/>
      <c r="SYT92" s="133"/>
      <c r="SYU92" s="133"/>
      <c r="SYV92" s="133"/>
      <c r="SYW92" s="133"/>
      <c r="SYX92" s="133"/>
      <c r="SYY92" s="133"/>
      <c r="SYZ92" s="133"/>
      <c r="SZA92" s="133"/>
      <c r="SZB92" s="133"/>
      <c r="SZC92" s="133"/>
      <c r="SZD92" s="133"/>
      <c r="SZE92" s="133"/>
      <c r="SZF92" s="133"/>
      <c r="SZG92" s="133"/>
      <c r="SZH92" s="133"/>
      <c r="SZI92" s="133"/>
      <c r="SZJ92" s="133"/>
      <c r="SZK92" s="133"/>
      <c r="SZL92" s="133"/>
      <c r="SZM92" s="133"/>
      <c r="SZN92" s="133"/>
      <c r="SZO92" s="133"/>
      <c r="SZP92" s="133"/>
      <c r="SZQ92" s="133"/>
      <c r="SZR92" s="133"/>
      <c r="SZS92" s="133"/>
      <c r="SZT92" s="133"/>
      <c r="SZU92" s="133"/>
      <c r="SZV92" s="133"/>
      <c r="SZW92" s="133"/>
      <c r="SZX92" s="133"/>
      <c r="SZY92" s="133"/>
      <c r="SZZ92" s="133"/>
      <c r="TAA92" s="133"/>
      <c r="TAB92" s="133"/>
      <c r="TAC92" s="133"/>
      <c r="TAD92" s="133"/>
      <c r="TAE92" s="133"/>
      <c r="TAF92" s="133"/>
      <c r="TAG92" s="133"/>
      <c r="TAH92" s="133"/>
      <c r="TAI92" s="133"/>
      <c r="TAJ92" s="133"/>
      <c r="TAK92" s="133"/>
      <c r="TAL92" s="133"/>
      <c r="TAM92" s="133"/>
      <c r="TAN92" s="133"/>
      <c r="TAO92" s="133"/>
      <c r="TAP92" s="133"/>
      <c r="TAQ92" s="133"/>
      <c r="TAR92" s="133"/>
      <c r="TAS92" s="133"/>
      <c r="TAT92" s="133"/>
      <c r="TAU92" s="133"/>
      <c r="TAV92" s="133"/>
      <c r="TAW92" s="133"/>
      <c r="TAX92" s="133"/>
      <c r="TAY92" s="133"/>
      <c r="TAZ92" s="133"/>
      <c r="TBA92" s="133"/>
      <c r="TBB92" s="133"/>
      <c r="TBC92" s="133"/>
      <c r="TBD92" s="133"/>
      <c r="TBE92" s="133"/>
      <c r="TBF92" s="133"/>
      <c r="TBG92" s="133"/>
      <c r="TBH92" s="133"/>
      <c r="TBI92" s="133"/>
      <c r="TBJ92" s="133"/>
      <c r="TBK92" s="133"/>
      <c r="TBL92" s="133"/>
      <c r="TBM92" s="133"/>
      <c r="TBN92" s="133"/>
      <c r="TBO92" s="133"/>
      <c r="TBP92" s="133"/>
      <c r="TBQ92" s="133"/>
      <c r="TBR92" s="133"/>
      <c r="TBS92" s="133"/>
      <c r="TBT92" s="133"/>
      <c r="TBU92" s="133"/>
      <c r="TBV92" s="133"/>
      <c r="TBW92" s="133"/>
      <c r="TBX92" s="133"/>
      <c r="TBY92" s="133"/>
      <c r="TBZ92" s="133"/>
      <c r="TCA92" s="133"/>
      <c r="TCB92" s="133"/>
      <c r="TCC92" s="133"/>
      <c r="TCD92" s="133"/>
      <c r="TCE92" s="133"/>
      <c r="TCF92" s="133"/>
      <c r="TCG92" s="133"/>
      <c r="TCH92" s="133"/>
      <c r="TCI92" s="133"/>
      <c r="TCJ92" s="133"/>
      <c r="TCK92" s="133"/>
      <c r="TCL92" s="133"/>
      <c r="TCM92" s="133"/>
      <c r="TCN92" s="133"/>
      <c r="TCO92" s="133"/>
      <c r="TCP92" s="133"/>
      <c r="TCQ92" s="133"/>
      <c r="TCR92" s="133"/>
      <c r="TCS92" s="133"/>
      <c r="TCT92" s="133"/>
      <c r="TCU92" s="133"/>
      <c r="TCV92" s="133"/>
      <c r="TCW92" s="133"/>
      <c r="TCX92" s="133"/>
      <c r="TCY92" s="133"/>
      <c r="TCZ92" s="133"/>
      <c r="TDA92" s="133"/>
      <c r="TDB92" s="133"/>
      <c r="TDC92" s="133"/>
      <c r="TDD92" s="133"/>
      <c r="TDE92" s="133"/>
      <c r="TDF92" s="133"/>
      <c r="TDG92" s="133"/>
      <c r="TDH92" s="133"/>
      <c r="TDI92" s="133"/>
      <c r="TDJ92" s="133"/>
      <c r="TDK92" s="133"/>
      <c r="TDL92" s="133"/>
      <c r="TDM92" s="133"/>
      <c r="TDN92" s="133"/>
      <c r="TDO92" s="133"/>
      <c r="TDP92" s="133"/>
      <c r="TDQ92" s="133"/>
      <c r="TDR92" s="133"/>
      <c r="TDS92" s="133"/>
      <c r="TDT92" s="133"/>
      <c r="TDU92" s="133"/>
      <c r="TDV92" s="133"/>
      <c r="TDW92" s="133"/>
      <c r="TDX92" s="133"/>
      <c r="TDY92" s="133"/>
      <c r="TDZ92" s="133"/>
      <c r="TEA92" s="133"/>
      <c r="TEB92" s="133"/>
      <c r="TEC92" s="133"/>
      <c r="TED92" s="133"/>
      <c r="TEE92" s="133"/>
      <c r="TEF92" s="133"/>
      <c r="TEG92" s="133"/>
      <c r="TEH92" s="133"/>
      <c r="TEI92" s="133"/>
      <c r="TEJ92" s="133"/>
      <c r="TEK92" s="133"/>
      <c r="TEL92" s="133"/>
      <c r="TEM92" s="133"/>
      <c r="TEN92" s="133"/>
      <c r="TEO92" s="133"/>
      <c r="TEP92" s="133"/>
      <c r="TEQ92" s="133"/>
      <c r="TER92" s="133"/>
      <c r="TES92" s="133"/>
      <c r="TET92" s="133"/>
      <c r="TEU92" s="133"/>
      <c r="TEV92" s="133"/>
      <c r="TEW92" s="133"/>
      <c r="TEX92" s="133"/>
      <c r="TEY92" s="133"/>
      <c r="TEZ92" s="133"/>
      <c r="TFA92" s="133"/>
      <c r="TFB92" s="133"/>
      <c r="TFC92" s="133"/>
      <c r="TFD92" s="133"/>
      <c r="TFE92" s="133"/>
      <c r="TFF92" s="133"/>
      <c r="TFG92" s="133"/>
      <c r="TFH92" s="133"/>
      <c r="TFI92" s="133"/>
      <c r="TFJ92" s="133"/>
      <c r="TFK92" s="133"/>
      <c r="TFL92" s="133"/>
      <c r="TFM92" s="133"/>
      <c r="TFN92" s="133"/>
      <c r="TFO92" s="133"/>
      <c r="TFP92" s="133"/>
      <c r="TFQ92" s="133"/>
      <c r="TFR92" s="133"/>
      <c r="TFS92" s="133"/>
      <c r="TFT92" s="133"/>
      <c r="TFU92" s="133"/>
      <c r="TFV92" s="133"/>
      <c r="TFW92" s="133"/>
      <c r="TFX92" s="133"/>
      <c r="TFY92" s="133"/>
      <c r="TFZ92" s="133"/>
      <c r="TGA92" s="133"/>
      <c r="TGB92" s="133"/>
      <c r="TGC92" s="133"/>
      <c r="TGD92" s="133"/>
      <c r="TGE92" s="133"/>
      <c r="TGF92" s="133"/>
      <c r="TGG92" s="133"/>
      <c r="TGH92" s="133"/>
      <c r="TGI92" s="133"/>
      <c r="TGJ92" s="133"/>
      <c r="TGK92" s="133"/>
      <c r="TGL92" s="133"/>
      <c r="TGM92" s="133"/>
      <c r="TGN92" s="133"/>
      <c r="TGO92" s="133"/>
      <c r="TGP92" s="133"/>
      <c r="TGQ92" s="133"/>
      <c r="TGR92" s="133"/>
      <c r="TGS92" s="133"/>
      <c r="TGT92" s="133"/>
      <c r="TGU92" s="133"/>
      <c r="TGV92" s="133"/>
      <c r="TGW92" s="133"/>
      <c r="TGX92" s="133"/>
      <c r="TGY92" s="133"/>
      <c r="TGZ92" s="133"/>
      <c r="THA92" s="133"/>
      <c r="THB92" s="133"/>
      <c r="THC92" s="133"/>
      <c r="THD92" s="133"/>
      <c r="THE92" s="133"/>
      <c r="THF92" s="133"/>
      <c r="THG92" s="133"/>
      <c r="THH92" s="133"/>
      <c r="THI92" s="133"/>
      <c r="THJ92" s="133"/>
      <c r="THK92" s="133"/>
      <c r="THL92" s="133"/>
      <c r="THM92" s="133"/>
      <c r="THN92" s="133"/>
      <c r="THO92" s="133"/>
      <c r="THP92" s="133"/>
      <c r="THQ92" s="133"/>
      <c r="THR92" s="133"/>
      <c r="THS92" s="133"/>
      <c r="THT92" s="133"/>
      <c r="THU92" s="133"/>
      <c r="THV92" s="133"/>
      <c r="THW92" s="133"/>
      <c r="THX92" s="133"/>
      <c r="THY92" s="133"/>
      <c r="THZ92" s="133"/>
      <c r="TIA92" s="133"/>
      <c r="TIB92" s="133"/>
      <c r="TIC92" s="133"/>
      <c r="TID92" s="133"/>
      <c r="TIE92" s="133"/>
      <c r="TIF92" s="133"/>
      <c r="TIG92" s="133"/>
      <c r="TIH92" s="133"/>
      <c r="TII92" s="133"/>
      <c r="TIJ92" s="133"/>
      <c r="TIK92" s="133"/>
      <c r="TIL92" s="133"/>
      <c r="TIM92" s="133"/>
      <c r="TIN92" s="133"/>
      <c r="TIO92" s="133"/>
      <c r="TIP92" s="133"/>
      <c r="TIQ92" s="133"/>
      <c r="TIR92" s="133"/>
      <c r="TIS92" s="133"/>
      <c r="TIT92" s="133"/>
      <c r="TIU92" s="133"/>
      <c r="TIV92" s="133"/>
      <c r="TIW92" s="133"/>
      <c r="TIX92" s="133"/>
      <c r="TIY92" s="133"/>
      <c r="TIZ92" s="133"/>
      <c r="TJA92" s="133"/>
      <c r="TJB92" s="133"/>
      <c r="TJC92" s="133"/>
      <c r="TJD92" s="133"/>
      <c r="TJE92" s="133"/>
      <c r="TJF92" s="133"/>
      <c r="TJG92" s="133"/>
      <c r="TJH92" s="133"/>
      <c r="TJI92" s="133"/>
      <c r="TJJ92" s="133"/>
      <c r="TJK92" s="133"/>
      <c r="TJL92" s="133"/>
      <c r="TJM92" s="133"/>
      <c r="TJN92" s="133"/>
      <c r="TJO92" s="133"/>
      <c r="TJP92" s="133"/>
      <c r="TJQ92" s="133"/>
      <c r="TJR92" s="133"/>
      <c r="TJS92" s="133"/>
      <c r="TJT92" s="133"/>
      <c r="TJU92" s="133"/>
      <c r="TJV92" s="133"/>
      <c r="TJW92" s="133"/>
      <c r="TJX92" s="133"/>
      <c r="TJY92" s="133"/>
      <c r="TJZ92" s="133"/>
      <c r="TKA92" s="133"/>
      <c r="TKB92" s="133"/>
      <c r="TKC92" s="133"/>
      <c r="TKD92" s="133"/>
      <c r="TKE92" s="133"/>
      <c r="TKF92" s="133"/>
      <c r="TKG92" s="133"/>
      <c r="TKH92" s="133"/>
      <c r="TKI92" s="133"/>
      <c r="TKJ92" s="133"/>
      <c r="TKK92" s="133"/>
      <c r="TKL92" s="133"/>
      <c r="TKM92" s="133"/>
      <c r="TKN92" s="133"/>
      <c r="TKO92" s="133"/>
      <c r="TKP92" s="133"/>
      <c r="TKQ92" s="133"/>
      <c r="TKR92" s="133"/>
      <c r="TKS92" s="133"/>
      <c r="TKT92" s="133"/>
      <c r="TKU92" s="133"/>
      <c r="TKV92" s="133"/>
      <c r="TKW92" s="133"/>
      <c r="TKX92" s="133"/>
      <c r="TKY92" s="133"/>
      <c r="TKZ92" s="133"/>
      <c r="TLA92" s="133"/>
      <c r="TLB92" s="133"/>
      <c r="TLC92" s="133"/>
      <c r="TLD92" s="133"/>
      <c r="TLE92" s="133"/>
      <c r="TLF92" s="133"/>
      <c r="TLG92" s="133"/>
      <c r="TLH92" s="133"/>
      <c r="TLI92" s="133"/>
      <c r="TLJ92" s="133"/>
      <c r="TLK92" s="133"/>
      <c r="TLL92" s="133"/>
      <c r="TLM92" s="133"/>
      <c r="TLN92" s="133"/>
      <c r="TLO92" s="133"/>
      <c r="TLP92" s="133"/>
      <c r="TLQ92" s="133"/>
      <c r="TLR92" s="133"/>
      <c r="TLS92" s="133"/>
      <c r="TLT92" s="133"/>
      <c r="TLU92" s="133"/>
      <c r="TLV92" s="133"/>
      <c r="TLW92" s="133"/>
      <c r="TLX92" s="133"/>
      <c r="TLY92" s="133"/>
      <c r="TLZ92" s="133"/>
      <c r="TMA92" s="133"/>
      <c r="TMB92" s="133"/>
      <c r="TMC92" s="133"/>
      <c r="TMD92" s="133"/>
      <c r="TME92" s="133"/>
      <c r="TMF92" s="133"/>
      <c r="TMG92" s="133"/>
      <c r="TMH92" s="133"/>
      <c r="TMI92" s="133"/>
      <c r="TMJ92" s="133"/>
      <c r="TMK92" s="133"/>
      <c r="TML92" s="133"/>
      <c r="TMM92" s="133"/>
      <c r="TMN92" s="133"/>
      <c r="TMO92" s="133"/>
      <c r="TMP92" s="133"/>
      <c r="TMQ92" s="133"/>
      <c r="TMR92" s="133"/>
      <c r="TMS92" s="133"/>
      <c r="TMT92" s="133"/>
      <c r="TMU92" s="133"/>
      <c r="TMV92" s="133"/>
      <c r="TMW92" s="133"/>
      <c r="TMX92" s="133"/>
      <c r="TMY92" s="133"/>
      <c r="TMZ92" s="133"/>
      <c r="TNA92" s="133"/>
      <c r="TNB92" s="133"/>
      <c r="TNC92" s="133"/>
      <c r="TND92" s="133"/>
      <c r="TNE92" s="133"/>
      <c r="TNF92" s="133"/>
      <c r="TNG92" s="133"/>
      <c r="TNH92" s="133"/>
      <c r="TNI92" s="133"/>
      <c r="TNJ92" s="133"/>
      <c r="TNK92" s="133"/>
      <c r="TNL92" s="133"/>
      <c r="TNM92" s="133"/>
      <c r="TNN92" s="133"/>
      <c r="TNO92" s="133"/>
      <c r="TNP92" s="133"/>
      <c r="TNQ92" s="133"/>
      <c r="TNR92" s="133"/>
      <c r="TNS92" s="133"/>
      <c r="TNT92" s="133"/>
      <c r="TNU92" s="133"/>
      <c r="TNV92" s="133"/>
      <c r="TNW92" s="133"/>
      <c r="TNX92" s="133"/>
      <c r="TNY92" s="133"/>
      <c r="TNZ92" s="133"/>
      <c r="TOA92" s="133"/>
      <c r="TOB92" s="133"/>
      <c r="TOC92" s="133"/>
      <c r="TOD92" s="133"/>
      <c r="TOE92" s="133"/>
      <c r="TOF92" s="133"/>
      <c r="TOG92" s="133"/>
      <c r="TOH92" s="133"/>
      <c r="TOI92" s="133"/>
      <c r="TOJ92" s="133"/>
      <c r="TOK92" s="133"/>
      <c r="TOL92" s="133"/>
      <c r="TOM92" s="133"/>
      <c r="TON92" s="133"/>
      <c r="TOO92" s="133"/>
      <c r="TOP92" s="133"/>
      <c r="TOQ92" s="133"/>
      <c r="TOR92" s="133"/>
      <c r="TOS92" s="133"/>
      <c r="TOT92" s="133"/>
      <c r="TOU92" s="133"/>
      <c r="TOV92" s="133"/>
      <c r="TOW92" s="133"/>
      <c r="TOX92" s="133"/>
      <c r="TOY92" s="133"/>
      <c r="TOZ92" s="133"/>
      <c r="TPA92" s="133"/>
      <c r="TPB92" s="133"/>
      <c r="TPC92" s="133"/>
      <c r="TPD92" s="133"/>
      <c r="TPE92" s="133"/>
      <c r="TPF92" s="133"/>
      <c r="TPG92" s="133"/>
      <c r="TPH92" s="133"/>
      <c r="TPI92" s="133"/>
      <c r="TPJ92" s="133"/>
      <c r="TPK92" s="133"/>
      <c r="TPL92" s="133"/>
      <c r="TPM92" s="133"/>
      <c r="TPN92" s="133"/>
      <c r="TPO92" s="133"/>
      <c r="TPP92" s="133"/>
      <c r="TPQ92" s="133"/>
      <c r="TPR92" s="133"/>
      <c r="TPS92" s="133"/>
      <c r="TPT92" s="133"/>
      <c r="TPU92" s="133"/>
      <c r="TPV92" s="133"/>
      <c r="TPW92" s="133"/>
      <c r="TPX92" s="133"/>
      <c r="TPY92" s="133"/>
      <c r="TPZ92" s="133"/>
      <c r="TQA92" s="133"/>
      <c r="TQB92" s="133"/>
      <c r="TQC92" s="133"/>
      <c r="TQD92" s="133"/>
      <c r="TQE92" s="133"/>
      <c r="TQF92" s="133"/>
      <c r="TQG92" s="133"/>
      <c r="TQH92" s="133"/>
      <c r="TQI92" s="133"/>
      <c r="TQJ92" s="133"/>
      <c r="TQK92" s="133"/>
      <c r="TQL92" s="133"/>
      <c r="TQM92" s="133"/>
      <c r="TQN92" s="133"/>
      <c r="TQO92" s="133"/>
      <c r="TQP92" s="133"/>
      <c r="TQQ92" s="133"/>
      <c r="TQR92" s="133"/>
      <c r="TQS92" s="133"/>
      <c r="TQT92" s="133"/>
      <c r="TQU92" s="133"/>
      <c r="TQV92" s="133"/>
      <c r="TQW92" s="133"/>
      <c r="TQX92" s="133"/>
      <c r="TQY92" s="133"/>
      <c r="TQZ92" s="133"/>
      <c r="TRA92" s="133"/>
      <c r="TRB92" s="133"/>
      <c r="TRC92" s="133"/>
      <c r="TRD92" s="133"/>
      <c r="TRE92" s="133"/>
      <c r="TRF92" s="133"/>
      <c r="TRG92" s="133"/>
      <c r="TRH92" s="133"/>
      <c r="TRI92" s="133"/>
      <c r="TRJ92" s="133"/>
      <c r="TRK92" s="133"/>
      <c r="TRL92" s="133"/>
      <c r="TRM92" s="133"/>
      <c r="TRN92" s="133"/>
      <c r="TRO92" s="133"/>
      <c r="TRP92" s="133"/>
      <c r="TRQ92" s="133"/>
      <c r="TRR92" s="133"/>
      <c r="TRS92" s="133"/>
      <c r="TRT92" s="133"/>
      <c r="TRU92" s="133"/>
      <c r="TRV92" s="133"/>
      <c r="TRW92" s="133"/>
      <c r="TRX92" s="133"/>
      <c r="TRY92" s="133"/>
      <c r="TRZ92" s="133"/>
      <c r="TSA92" s="133"/>
      <c r="TSB92" s="133"/>
      <c r="TSC92" s="133"/>
      <c r="TSD92" s="133"/>
      <c r="TSE92" s="133"/>
      <c r="TSF92" s="133"/>
      <c r="TSG92" s="133"/>
      <c r="TSH92" s="133"/>
      <c r="TSI92" s="133"/>
      <c r="TSJ92" s="133"/>
      <c r="TSK92" s="133"/>
      <c r="TSL92" s="133"/>
      <c r="TSM92" s="133"/>
      <c r="TSN92" s="133"/>
      <c r="TSO92" s="133"/>
      <c r="TSP92" s="133"/>
      <c r="TSQ92" s="133"/>
      <c r="TSR92" s="133"/>
      <c r="TSS92" s="133"/>
      <c r="TST92" s="133"/>
      <c r="TSU92" s="133"/>
      <c r="TSV92" s="133"/>
      <c r="TSW92" s="133"/>
      <c r="TSX92" s="133"/>
      <c r="TSY92" s="133"/>
      <c r="TSZ92" s="133"/>
      <c r="TTA92" s="133"/>
      <c r="TTB92" s="133"/>
      <c r="TTC92" s="133"/>
      <c r="TTD92" s="133"/>
      <c r="TTE92" s="133"/>
      <c r="TTF92" s="133"/>
      <c r="TTG92" s="133"/>
      <c r="TTH92" s="133"/>
      <c r="TTI92" s="133"/>
      <c r="TTJ92" s="133"/>
      <c r="TTK92" s="133"/>
      <c r="TTL92" s="133"/>
      <c r="TTM92" s="133"/>
      <c r="TTN92" s="133"/>
      <c r="TTO92" s="133"/>
      <c r="TTP92" s="133"/>
      <c r="TTQ92" s="133"/>
      <c r="TTR92" s="133"/>
      <c r="TTS92" s="133"/>
      <c r="TTT92" s="133"/>
      <c r="TTU92" s="133"/>
      <c r="TTV92" s="133"/>
      <c r="TTW92" s="133"/>
      <c r="TTX92" s="133"/>
      <c r="TTY92" s="133"/>
      <c r="TTZ92" s="133"/>
      <c r="TUA92" s="133"/>
      <c r="TUB92" s="133"/>
      <c r="TUC92" s="133"/>
      <c r="TUD92" s="133"/>
      <c r="TUE92" s="133"/>
      <c r="TUF92" s="133"/>
      <c r="TUG92" s="133"/>
      <c r="TUH92" s="133"/>
      <c r="TUI92" s="133"/>
      <c r="TUJ92" s="133"/>
      <c r="TUK92" s="133"/>
      <c r="TUL92" s="133"/>
      <c r="TUM92" s="133"/>
      <c r="TUN92" s="133"/>
      <c r="TUO92" s="133"/>
      <c r="TUP92" s="133"/>
      <c r="TUQ92" s="133"/>
      <c r="TUR92" s="133"/>
      <c r="TUS92" s="133"/>
      <c r="TUT92" s="133"/>
      <c r="TUU92" s="133"/>
      <c r="TUV92" s="133"/>
      <c r="TUW92" s="133"/>
      <c r="TUX92" s="133"/>
      <c r="TUY92" s="133"/>
      <c r="TUZ92" s="133"/>
      <c r="TVA92" s="133"/>
      <c r="TVB92" s="133"/>
      <c r="TVC92" s="133"/>
      <c r="TVD92" s="133"/>
      <c r="TVE92" s="133"/>
      <c r="TVF92" s="133"/>
      <c r="TVG92" s="133"/>
      <c r="TVH92" s="133"/>
      <c r="TVI92" s="133"/>
      <c r="TVJ92" s="133"/>
      <c r="TVK92" s="133"/>
      <c r="TVL92" s="133"/>
      <c r="TVM92" s="133"/>
      <c r="TVN92" s="133"/>
      <c r="TVO92" s="133"/>
      <c r="TVP92" s="133"/>
      <c r="TVQ92" s="133"/>
      <c r="TVR92" s="133"/>
      <c r="TVS92" s="133"/>
      <c r="TVT92" s="133"/>
      <c r="TVU92" s="133"/>
      <c r="TVV92" s="133"/>
      <c r="TVW92" s="133"/>
      <c r="TVX92" s="133"/>
      <c r="TVY92" s="133"/>
      <c r="TVZ92" s="133"/>
      <c r="TWA92" s="133"/>
      <c r="TWB92" s="133"/>
      <c r="TWC92" s="133"/>
      <c r="TWD92" s="133"/>
      <c r="TWE92" s="133"/>
      <c r="TWF92" s="133"/>
      <c r="TWG92" s="133"/>
      <c r="TWH92" s="133"/>
      <c r="TWI92" s="133"/>
      <c r="TWJ92" s="133"/>
      <c r="TWK92" s="133"/>
      <c r="TWL92" s="133"/>
      <c r="TWM92" s="133"/>
      <c r="TWN92" s="133"/>
      <c r="TWO92" s="133"/>
      <c r="TWP92" s="133"/>
      <c r="TWQ92" s="133"/>
      <c r="TWR92" s="133"/>
      <c r="TWS92" s="133"/>
      <c r="TWT92" s="133"/>
      <c r="TWU92" s="133"/>
      <c r="TWV92" s="133"/>
      <c r="TWW92" s="133"/>
      <c r="TWX92" s="133"/>
      <c r="TWY92" s="133"/>
      <c r="TWZ92" s="133"/>
      <c r="TXA92" s="133"/>
      <c r="TXB92" s="133"/>
      <c r="TXC92" s="133"/>
      <c r="TXD92" s="133"/>
      <c r="TXE92" s="133"/>
      <c r="TXF92" s="133"/>
      <c r="TXG92" s="133"/>
      <c r="TXH92" s="133"/>
      <c r="TXI92" s="133"/>
      <c r="TXJ92" s="133"/>
      <c r="TXK92" s="133"/>
      <c r="TXL92" s="133"/>
      <c r="TXM92" s="133"/>
      <c r="TXN92" s="133"/>
      <c r="TXO92" s="133"/>
      <c r="TXP92" s="133"/>
      <c r="TXQ92" s="133"/>
      <c r="TXR92" s="133"/>
      <c r="TXS92" s="133"/>
      <c r="TXT92" s="133"/>
      <c r="TXU92" s="133"/>
      <c r="TXV92" s="133"/>
      <c r="TXW92" s="133"/>
      <c r="TXX92" s="133"/>
      <c r="TXY92" s="133"/>
      <c r="TXZ92" s="133"/>
      <c r="TYA92" s="133"/>
      <c r="TYB92" s="133"/>
      <c r="TYC92" s="133"/>
      <c r="TYD92" s="133"/>
      <c r="TYE92" s="133"/>
      <c r="TYF92" s="133"/>
      <c r="TYG92" s="133"/>
      <c r="TYH92" s="133"/>
      <c r="TYI92" s="133"/>
      <c r="TYJ92" s="133"/>
      <c r="TYK92" s="133"/>
      <c r="TYL92" s="133"/>
      <c r="TYM92" s="133"/>
      <c r="TYN92" s="133"/>
      <c r="TYO92" s="133"/>
      <c r="TYP92" s="133"/>
      <c r="TYQ92" s="133"/>
      <c r="TYR92" s="133"/>
      <c r="TYS92" s="133"/>
      <c r="TYT92" s="133"/>
      <c r="TYU92" s="133"/>
      <c r="TYV92" s="133"/>
      <c r="TYW92" s="133"/>
      <c r="TYX92" s="133"/>
      <c r="TYY92" s="133"/>
      <c r="TYZ92" s="133"/>
      <c r="TZA92" s="133"/>
      <c r="TZB92" s="133"/>
      <c r="TZC92" s="133"/>
      <c r="TZD92" s="133"/>
      <c r="TZE92" s="133"/>
      <c r="TZF92" s="133"/>
      <c r="TZG92" s="133"/>
      <c r="TZH92" s="133"/>
      <c r="TZI92" s="133"/>
      <c r="TZJ92" s="133"/>
      <c r="TZK92" s="133"/>
      <c r="TZL92" s="133"/>
      <c r="TZM92" s="133"/>
      <c r="TZN92" s="133"/>
      <c r="TZO92" s="133"/>
      <c r="TZP92" s="133"/>
      <c r="TZQ92" s="133"/>
      <c r="TZR92" s="133"/>
      <c r="TZS92" s="133"/>
      <c r="TZT92" s="133"/>
      <c r="TZU92" s="133"/>
      <c r="TZV92" s="133"/>
      <c r="TZW92" s="133"/>
      <c r="TZX92" s="133"/>
      <c r="TZY92" s="133"/>
      <c r="TZZ92" s="133"/>
      <c r="UAA92" s="133"/>
      <c r="UAB92" s="133"/>
      <c r="UAC92" s="133"/>
      <c r="UAD92" s="133"/>
      <c r="UAE92" s="133"/>
      <c r="UAF92" s="133"/>
      <c r="UAG92" s="133"/>
      <c r="UAH92" s="133"/>
      <c r="UAI92" s="133"/>
      <c r="UAJ92" s="133"/>
      <c r="UAK92" s="133"/>
      <c r="UAL92" s="133"/>
      <c r="UAM92" s="133"/>
      <c r="UAN92" s="133"/>
      <c r="UAO92" s="133"/>
      <c r="UAP92" s="133"/>
      <c r="UAQ92" s="133"/>
      <c r="UAR92" s="133"/>
      <c r="UAS92" s="133"/>
      <c r="UAT92" s="133"/>
      <c r="UAU92" s="133"/>
      <c r="UAV92" s="133"/>
      <c r="UAW92" s="133"/>
      <c r="UAX92" s="133"/>
      <c r="UAY92" s="133"/>
      <c r="UAZ92" s="133"/>
      <c r="UBA92" s="133"/>
      <c r="UBB92" s="133"/>
      <c r="UBC92" s="133"/>
      <c r="UBD92" s="133"/>
      <c r="UBE92" s="133"/>
      <c r="UBF92" s="133"/>
      <c r="UBG92" s="133"/>
      <c r="UBH92" s="133"/>
      <c r="UBI92" s="133"/>
      <c r="UBJ92" s="133"/>
      <c r="UBK92" s="133"/>
      <c r="UBL92" s="133"/>
      <c r="UBM92" s="133"/>
      <c r="UBN92" s="133"/>
      <c r="UBO92" s="133"/>
      <c r="UBP92" s="133"/>
      <c r="UBQ92" s="133"/>
      <c r="UBR92" s="133"/>
      <c r="UBS92" s="133"/>
      <c r="UBT92" s="133"/>
      <c r="UBU92" s="133"/>
      <c r="UBV92" s="133"/>
      <c r="UBW92" s="133"/>
      <c r="UBX92" s="133"/>
      <c r="UBY92" s="133"/>
      <c r="UBZ92" s="133"/>
      <c r="UCA92" s="133"/>
      <c r="UCB92" s="133"/>
      <c r="UCC92" s="133"/>
      <c r="UCD92" s="133"/>
      <c r="UCE92" s="133"/>
      <c r="UCF92" s="133"/>
      <c r="UCG92" s="133"/>
      <c r="UCH92" s="133"/>
      <c r="UCI92" s="133"/>
      <c r="UCJ92" s="133"/>
      <c r="UCK92" s="133"/>
      <c r="UCL92" s="133"/>
      <c r="UCM92" s="133"/>
      <c r="UCN92" s="133"/>
      <c r="UCO92" s="133"/>
      <c r="UCP92" s="133"/>
      <c r="UCQ92" s="133"/>
      <c r="UCR92" s="133"/>
      <c r="UCS92" s="133"/>
      <c r="UCT92" s="133"/>
      <c r="UCU92" s="133"/>
      <c r="UCV92" s="133"/>
      <c r="UCW92" s="133"/>
      <c r="UCX92" s="133"/>
      <c r="UCY92" s="133"/>
      <c r="UCZ92" s="133"/>
      <c r="UDA92" s="133"/>
      <c r="UDB92" s="133"/>
      <c r="UDC92" s="133"/>
      <c r="UDD92" s="133"/>
      <c r="UDE92" s="133"/>
      <c r="UDF92" s="133"/>
      <c r="UDG92" s="133"/>
      <c r="UDH92" s="133"/>
      <c r="UDI92" s="133"/>
      <c r="UDJ92" s="133"/>
      <c r="UDK92" s="133"/>
      <c r="UDL92" s="133"/>
      <c r="UDM92" s="133"/>
      <c r="UDN92" s="133"/>
      <c r="UDO92" s="133"/>
      <c r="UDP92" s="133"/>
      <c r="UDQ92" s="133"/>
      <c r="UDR92" s="133"/>
      <c r="UDS92" s="133"/>
      <c r="UDT92" s="133"/>
      <c r="UDU92" s="133"/>
      <c r="UDV92" s="133"/>
      <c r="UDW92" s="133"/>
      <c r="UDX92" s="133"/>
      <c r="UDY92" s="133"/>
      <c r="UDZ92" s="133"/>
      <c r="UEA92" s="133"/>
      <c r="UEB92" s="133"/>
      <c r="UEC92" s="133"/>
      <c r="UED92" s="133"/>
      <c r="UEE92" s="133"/>
      <c r="UEF92" s="133"/>
      <c r="UEG92" s="133"/>
      <c r="UEH92" s="133"/>
      <c r="UEI92" s="133"/>
      <c r="UEJ92" s="133"/>
      <c r="UEK92" s="133"/>
      <c r="UEL92" s="133"/>
      <c r="UEM92" s="133"/>
      <c r="UEN92" s="133"/>
      <c r="UEO92" s="133"/>
      <c r="UEP92" s="133"/>
      <c r="UEQ92" s="133"/>
      <c r="UER92" s="133"/>
      <c r="UES92" s="133"/>
      <c r="UET92" s="133"/>
      <c r="UEU92" s="133"/>
      <c r="UEV92" s="133"/>
      <c r="UEW92" s="133"/>
      <c r="UEX92" s="133"/>
      <c r="UEY92" s="133"/>
      <c r="UEZ92" s="133"/>
      <c r="UFA92" s="133"/>
      <c r="UFB92" s="133"/>
      <c r="UFC92" s="133"/>
      <c r="UFD92" s="133"/>
      <c r="UFE92" s="133"/>
      <c r="UFF92" s="133"/>
      <c r="UFG92" s="133"/>
      <c r="UFH92" s="133"/>
      <c r="UFI92" s="133"/>
      <c r="UFJ92" s="133"/>
      <c r="UFK92" s="133"/>
      <c r="UFL92" s="133"/>
      <c r="UFM92" s="133"/>
      <c r="UFN92" s="133"/>
      <c r="UFO92" s="133"/>
      <c r="UFP92" s="133"/>
      <c r="UFQ92" s="133"/>
      <c r="UFR92" s="133"/>
      <c r="UFS92" s="133"/>
      <c r="UFT92" s="133"/>
      <c r="UFU92" s="133"/>
      <c r="UFV92" s="133"/>
      <c r="UFW92" s="133"/>
      <c r="UFX92" s="133"/>
      <c r="UFY92" s="133"/>
      <c r="UFZ92" s="133"/>
      <c r="UGA92" s="133"/>
      <c r="UGB92" s="133"/>
      <c r="UGC92" s="133"/>
      <c r="UGD92" s="133"/>
      <c r="UGE92" s="133"/>
      <c r="UGF92" s="133"/>
      <c r="UGG92" s="133"/>
      <c r="UGH92" s="133"/>
      <c r="UGI92" s="133"/>
      <c r="UGJ92" s="133"/>
      <c r="UGK92" s="133"/>
      <c r="UGL92" s="133"/>
      <c r="UGM92" s="133"/>
      <c r="UGN92" s="133"/>
      <c r="UGO92" s="133"/>
      <c r="UGP92" s="133"/>
      <c r="UGQ92" s="133"/>
      <c r="UGR92" s="133"/>
      <c r="UGS92" s="133"/>
      <c r="UGT92" s="133"/>
      <c r="UGU92" s="133"/>
      <c r="UGV92" s="133"/>
      <c r="UGW92" s="133"/>
      <c r="UGX92" s="133"/>
      <c r="UGY92" s="133"/>
      <c r="UGZ92" s="133"/>
      <c r="UHA92" s="133"/>
      <c r="UHB92" s="133"/>
      <c r="UHC92" s="133"/>
      <c r="UHD92" s="133"/>
      <c r="UHE92" s="133"/>
      <c r="UHF92" s="133"/>
      <c r="UHG92" s="133"/>
      <c r="UHH92" s="133"/>
      <c r="UHI92" s="133"/>
      <c r="UHJ92" s="133"/>
      <c r="UHK92" s="133"/>
      <c r="UHL92" s="133"/>
      <c r="UHM92" s="133"/>
      <c r="UHN92" s="133"/>
      <c r="UHO92" s="133"/>
      <c r="UHP92" s="133"/>
      <c r="UHQ92" s="133"/>
      <c r="UHR92" s="133"/>
      <c r="UHS92" s="133"/>
      <c r="UHT92" s="133"/>
      <c r="UHU92" s="133"/>
      <c r="UHV92" s="133"/>
      <c r="UHW92" s="133"/>
      <c r="UHX92" s="133"/>
      <c r="UHY92" s="133"/>
      <c r="UHZ92" s="133"/>
      <c r="UIA92" s="133"/>
      <c r="UIB92" s="133"/>
      <c r="UIC92" s="133"/>
      <c r="UID92" s="133"/>
      <c r="UIE92" s="133"/>
      <c r="UIF92" s="133"/>
      <c r="UIG92" s="133"/>
      <c r="UIH92" s="133"/>
      <c r="UII92" s="133"/>
      <c r="UIJ92" s="133"/>
      <c r="UIK92" s="133"/>
      <c r="UIL92" s="133"/>
      <c r="UIM92" s="133"/>
      <c r="UIN92" s="133"/>
      <c r="UIO92" s="133"/>
      <c r="UIP92" s="133"/>
      <c r="UIQ92" s="133"/>
      <c r="UIR92" s="133"/>
      <c r="UIS92" s="133"/>
      <c r="UIT92" s="133"/>
      <c r="UIU92" s="133"/>
      <c r="UIV92" s="133"/>
      <c r="UIW92" s="133"/>
      <c r="UIX92" s="133"/>
      <c r="UIY92" s="133"/>
      <c r="UIZ92" s="133"/>
      <c r="UJA92" s="133"/>
      <c r="UJB92" s="133"/>
      <c r="UJC92" s="133"/>
      <c r="UJD92" s="133"/>
      <c r="UJE92" s="133"/>
      <c r="UJF92" s="133"/>
      <c r="UJG92" s="133"/>
      <c r="UJH92" s="133"/>
      <c r="UJI92" s="133"/>
      <c r="UJJ92" s="133"/>
      <c r="UJK92" s="133"/>
      <c r="UJL92" s="133"/>
      <c r="UJM92" s="133"/>
      <c r="UJN92" s="133"/>
      <c r="UJO92" s="133"/>
      <c r="UJP92" s="133"/>
      <c r="UJQ92" s="133"/>
      <c r="UJR92" s="133"/>
      <c r="UJS92" s="133"/>
      <c r="UJT92" s="133"/>
      <c r="UJU92" s="133"/>
      <c r="UJV92" s="133"/>
      <c r="UJW92" s="133"/>
      <c r="UJX92" s="133"/>
      <c r="UJY92" s="133"/>
      <c r="UJZ92" s="133"/>
      <c r="UKA92" s="133"/>
      <c r="UKB92" s="133"/>
      <c r="UKC92" s="133"/>
      <c r="UKD92" s="133"/>
      <c r="UKE92" s="133"/>
      <c r="UKF92" s="133"/>
      <c r="UKG92" s="133"/>
      <c r="UKH92" s="133"/>
      <c r="UKI92" s="133"/>
      <c r="UKJ92" s="133"/>
      <c r="UKK92" s="133"/>
      <c r="UKL92" s="133"/>
      <c r="UKM92" s="133"/>
      <c r="UKN92" s="133"/>
      <c r="UKO92" s="133"/>
      <c r="UKP92" s="133"/>
      <c r="UKQ92" s="133"/>
      <c r="UKR92" s="133"/>
      <c r="UKS92" s="133"/>
      <c r="UKT92" s="133"/>
      <c r="UKU92" s="133"/>
      <c r="UKV92" s="133"/>
      <c r="UKW92" s="133"/>
      <c r="UKX92" s="133"/>
      <c r="UKY92" s="133"/>
      <c r="UKZ92" s="133"/>
      <c r="ULA92" s="133"/>
      <c r="ULB92" s="133"/>
      <c r="ULC92" s="133"/>
      <c r="ULD92" s="133"/>
      <c r="ULE92" s="133"/>
      <c r="ULF92" s="133"/>
      <c r="ULG92" s="133"/>
      <c r="ULH92" s="133"/>
      <c r="ULI92" s="133"/>
      <c r="ULJ92" s="133"/>
      <c r="ULK92" s="133"/>
      <c r="ULL92" s="133"/>
      <c r="ULM92" s="133"/>
      <c r="ULN92" s="133"/>
      <c r="ULO92" s="133"/>
      <c r="ULP92" s="133"/>
      <c r="ULQ92" s="133"/>
      <c r="ULR92" s="133"/>
      <c r="ULS92" s="133"/>
      <c r="ULT92" s="133"/>
      <c r="ULU92" s="133"/>
      <c r="ULV92" s="133"/>
      <c r="ULW92" s="133"/>
      <c r="ULX92" s="133"/>
      <c r="ULY92" s="133"/>
      <c r="ULZ92" s="133"/>
      <c r="UMA92" s="133"/>
      <c r="UMB92" s="133"/>
      <c r="UMC92" s="133"/>
      <c r="UMD92" s="133"/>
      <c r="UME92" s="133"/>
      <c r="UMF92" s="133"/>
      <c r="UMG92" s="133"/>
      <c r="UMH92" s="133"/>
      <c r="UMI92" s="133"/>
      <c r="UMJ92" s="133"/>
      <c r="UMK92" s="133"/>
      <c r="UML92" s="133"/>
      <c r="UMM92" s="133"/>
      <c r="UMN92" s="133"/>
      <c r="UMO92" s="133"/>
      <c r="UMP92" s="133"/>
      <c r="UMQ92" s="133"/>
      <c r="UMR92" s="133"/>
      <c r="UMS92" s="133"/>
      <c r="UMT92" s="133"/>
      <c r="UMU92" s="133"/>
      <c r="UMV92" s="133"/>
      <c r="UMW92" s="133"/>
      <c r="UMX92" s="133"/>
      <c r="UMY92" s="133"/>
      <c r="UMZ92" s="133"/>
      <c r="UNA92" s="133"/>
      <c r="UNB92" s="133"/>
      <c r="UNC92" s="133"/>
      <c r="UND92" s="133"/>
      <c r="UNE92" s="133"/>
      <c r="UNF92" s="133"/>
      <c r="UNG92" s="133"/>
      <c r="UNH92" s="133"/>
      <c r="UNI92" s="133"/>
      <c r="UNJ92" s="133"/>
      <c r="UNK92" s="133"/>
      <c r="UNL92" s="133"/>
      <c r="UNM92" s="133"/>
      <c r="UNN92" s="133"/>
      <c r="UNO92" s="133"/>
      <c r="UNP92" s="133"/>
      <c r="UNQ92" s="133"/>
      <c r="UNR92" s="133"/>
      <c r="UNS92" s="133"/>
      <c r="UNT92" s="133"/>
      <c r="UNU92" s="133"/>
      <c r="UNV92" s="133"/>
      <c r="UNW92" s="133"/>
      <c r="UNX92" s="133"/>
      <c r="UNY92" s="133"/>
      <c r="UNZ92" s="133"/>
      <c r="UOA92" s="133"/>
      <c r="UOB92" s="133"/>
      <c r="UOC92" s="133"/>
      <c r="UOD92" s="133"/>
      <c r="UOE92" s="133"/>
      <c r="UOF92" s="133"/>
      <c r="UOG92" s="133"/>
      <c r="UOH92" s="133"/>
      <c r="UOI92" s="133"/>
      <c r="UOJ92" s="133"/>
      <c r="UOK92" s="133"/>
      <c r="UOL92" s="133"/>
      <c r="UOM92" s="133"/>
      <c r="UON92" s="133"/>
      <c r="UOO92" s="133"/>
      <c r="UOP92" s="133"/>
      <c r="UOQ92" s="133"/>
      <c r="UOR92" s="133"/>
      <c r="UOS92" s="133"/>
      <c r="UOT92" s="133"/>
      <c r="UOU92" s="133"/>
      <c r="UOV92" s="133"/>
      <c r="UOW92" s="133"/>
      <c r="UOX92" s="133"/>
      <c r="UOY92" s="133"/>
      <c r="UOZ92" s="133"/>
      <c r="UPA92" s="133"/>
      <c r="UPB92" s="133"/>
      <c r="UPC92" s="133"/>
      <c r="UPD92" s="133"/>
      <c r="UPE92" s="133"/>
      <c r="UPF92" s="133"/>
      <c r="UPG92" s="133"/>
      <c r="UPH92" s="133"/>
      <c r="UPI92" s="133"/>
      <c r="UPJ92" s="133"/>
      <c r="UPK92" s="133"/>
      <c r="UPL92" s="133"/>
      <c r="UPM92" s="133"/>
      <c r="UPN92" s="133"/>
      <c r="UPO92" s="133"/>
      <c r="UPP92" s="133"/>
      <c r="UPQ92" s="133"/>
      <c r="UPR92" s="133"/>
      <c r="UPS92" s="133"/>
      <c r="UPT92" s="133"/>
      <c r="UPU92" s="133"/>
      <c r="UPV92" s="133"/>
      <c r="UPW92" s="133"/>
      <c r="UPX92" s="133"/>
      <c r="UPY92" s="133"/>
      <c r="UPZ92" s="133"/>
      <c r="UQA92" s="133"/>
      <c r="UQB92" s="133"/>
      <c r="UQC92" s="133"/>
      <c r="UQD92" s="133"/>
      <c r="UQE92" s="133"/>
      <c r="UQF92" s="133"/>
      <c r="UQG92" s="133"/>
      <c r="UQH92" s="133"/>
      <c r="UQI92" s="133"/>
      <c r="UQJ92" s="133"/>
      <c r="UQK92" s="133"/>
      <c r="UQL92" s="133"/>
      <c r="UQM92" s="133"/>
      <c r="UQN92" s="133"/>
      <c r="UQO92" s="133"/>
      <c r="UQP92" s="133"/>
      <c r="UQQ92" s="133"/>
      <c r="UQR92" s="133"/>
      <c r="UQS92" s="133"/>
      <c r="UQT92" s="133"/>
      <c r="UQU92" s="133"/>
      <c r="UQV92" s="133"/>
      <c r="UQW92" s="133"/>
      <c r="UQX92" s="133"/>
      <c r="UQY92" s="133"/>
      <c r="UQZ92" s="133"/>
      <c r="URA92" s="133"/>
      <c r="URB92" s="133"/>
      <c r="URC92" s="133"/>
      <c r="URD92" s="133"/>
      <c r="URE92" s="133"/>
      <c r="URF92" s="133"/>
      <c r="URG92" s="133"/>
      <c r="URH92" s="133"/>
      <c r="URI92" s="133"/>
      <c r="URJ92" s="133"/>
      <c r="URK92" s="133"/>
      <c r="URL92" s="133"/>
      <c r="URM92" s="133"/>
      <c r="URN92" s="133"/>
      <c r="URO92" s="133"/>
      <c r="URP92" s="133"/>
      <c r="URQ92" s="133"/>
      <c r="URR92" s="133"/>
      <c r="URS92" s="133"/>
      <c r="URT92" s="133"/>
      <c r="URU92" s="133"/>
      <c r="URV92" s="133"/>
      <c r="URW92" s="133"/>
      <c r="URX92" s="133"/>
      <c r="URY92" s="133"/>
      <c r="URZ92" s="133"/>
      <c r="USA92" s="133"/>
      <c r="USB92" s="133"/>
      <c r="USC92" s="133"/>
      <c r="USD92" s="133"/>
      <c r="USE92" s="133"/>
      <c r="USF92" s="133"/>
      <c r="USG92" s="133"/>
      <c r="USH92" s="133"/>
      <c r="USI92" s="133"/>
      <c r="USJ92" s="133"/>
      <c r="USK92" s="133"/>
      <c r="USL92" s="133"/>
      <c r="USM92" s="133"/>
      <c r="USN92" s="133"/>
      <c r="USO92" s="133"/>
      <c r="USP92" s="133"/>
      <c r="USQ92" s="133"/>
      <c r="USR92" s="133"/>
      <c r="USS92" s="133"/>
      <c r="UST92" s="133"/>
      <c r="USU92" s="133"/>
      <c r="USV92" s="133"/>
      <c r="USW92" s="133"/>
      <c r="USX92" s="133"/>
      <c r="USY92" s="133"/>
      <c r="USZ92" s="133"/>
      <c r="UTA92" s="133"/>
      <c r="UTB92" s="133"/>
      <c r="UTC92" s="133"/>
      <c r="UTD92" s="133"/>
      <c r="UTE92" s="133"/>
      <c r="UTF92" s="133"/>
      <c r="UTG92" s="133"/>
      <c r="UTH92" s="133"/>
      <c r="UTI92" s="133"/>
      <c r="UTJ92" s="133"/>
      <c r="UTK92" s="133"/>
      <c r="UTL92" s="133"/>
      <c r="UTM92" s="133"/>
      <c r="UTN92" s="133"/>
      <c r="UTO92" s="133"/>
      <c r="UTP92" s="133"/>
      <c r="UTQ92" s="133"/>
      <c r="UTR92" s="133"/>
      <c r="UTS92" s="133"/>
      <c r="UTT92" s="133"/>
      <c r="UTU92" s="133"/>
      <c r="UTV92" s="133"/>
      <c r="UTW92" s="133"/>
      <c r="UTX92" s="133"/>
      <c r="UTY92" s="133"/>
      <c r="UTZ92" s="133"/>
      <c r="UUA92" s="133"/>
      <c r="UUB92" s="133"/>
      <c r="UUC92" s="133"/>
      <c r="UUD92" s="133"/>
      <c r="UUE92" s="133"/>
      <c r="UUF92" s="133"/>
      <c r="UUG92" s="133"/>
      <c r="UUH92" s="133"/>
      <c r="UUI92" s="133"/>
      <c r="UUJ92" s="133"/>
      <c r="UUK92" s="133"/>
      <c r="UUL92" s="133"/>
      <c r="UUM92" s="133"/>
      <c r="UUN92" s="133"/>
      <c r="UUO92" s="133"/>
      <c r="UUP92" s="133"/>
      <c r="UUQ92" s="133"/>
      <c r="UUR92" s="133"/>
      <c r="UUS92" s="133"/>
      <c r="UUT92" s="133"/>
      <c r="UUU92" s="133"/>
      <c r="UUV92" s="133"/>
      <c r="UUW92" s="133"/>
      <c r="UUX92" s="133"/>
      <c r="UUY92" s="133"/>
      <c r="UUZ92" s="133"/>
      <c r="UVA92" s="133"/>
      <c r="UVB92" s="133"/>
      <c r="UVC92" s="133"/>
      <c r="UVD92" s="133"/>
      <c r="UVE92" s="133"/>
      <c r="UVF92" s="133"/>
      <c r="UVG92" s="133"/>
      <c r="UVH92" s="133"/>
      <c r="UVI92" s="133"/>
      <c r="UVJ92" s="133"/>
      <c r="UVK92" s="133"/>
      <c r="UVL92" s="133"/>
      <c r="UVM92" s="133"/>
      <c r="UVN92" s="133"/>
      <c r="UVO92" s="133"/>
      <c r="UVP92" s="133"/>
      <c r="UVQ92" s="133"/>
      <c r="UVR92" s="133"/>
      <c r="UVS92" s="133"/>
      <c r="UVT92" s="133"/>
      <c r="UVU92" s="133"/>
      <c r="UVV92" s="133"/>
      <c r="UVW92" s="133"/>
      <c r="UVX92" s="133"/>
      <c r="UVY92" s="133"/>
      <c r="UVZ92" s="133"/>
      <c r="UWA92" s="133"/>
      <c r="UWB92" s="133"/>
      <c r="UWC92" s="133"/>
      <c r="UWD92" s="133"/>
      <c r="UWE92" s="133"/>
      <c r="UWF92" s="133"/>
      <c r="UWG92" s="133"/>
      <c r="UWH92" s="133"/>
      <c r="UWI92" s="133"/>
      <c r="UWJ92" s="133"/>
      <c r="UWK92" s="133"/>
      <c r="UWL92" s="133"/>
      <c r="UWM92" s="133"/>
      <c r="UWN92" s="133"/>
      <c r="UWO92" s="133"/>
      <c r="UWP92" s="133"/>
      <c r="UWQ92" s="133"/>
      <c r="UWR92" s="133"/>
      <c r="UWS92" s="133"/>
      <c r="UWT92" s="133"/>
      <c r="UWU92" s="133"/>
      <c r="UWV92" s="133"/>
      <c r="UWW92" s="133"/>
      <c r="UWX92" s="133"/>
      <c r="UWY92" s="133"/>
      <c r="UWZ92" s="133"/>
      <c r="UXA92" s="133"/>
      <c r="UXB92" s="133"/>
      <c r="UXC92" s="133"/>
      <c r="UXD92" s="133"/>
      <c r="UXE92" s="133"/>
      <c r="UXF92" s="133"/>
      <c r="UXG92" s="133"/>
      <c r="UXH92" s="133"/>
      <c r="UXI92" s="133"/>
      <c r="UXJ92" s="133"/>
      <c r="UXK92" s="133"/>
      <c r="UXL92" s="133"/>
      <c r="UXM92" s="133"/>
      <c r="UXN92" s="133"/>
      <c r="UXO92" s="133"/>
      <c r="UXP92" s="133"/>
      <c r="UXQ92" s="133"/>
      <c r="UXR92" s="133"/>
      <c r="UXS92" s="133"/>
      <c r="UXT92" s="133"/>
      <c r="UXU92" s="133"/>
      <c r="UXV92" s="133"/>
      <c r="UXW92" s="133"/>
      <c r="UXX92" s="133"/>
      <c r="UXY92" s="133"/>
      <c r="UXZ92" s="133"/>
      <c r="UYA92" s="133"/>
      <c r="UYB92" s="133"/>
      <c r="UYC92" s="133"/>
      <c r="UYD92" s="133"/>
      <c r="UYE92" s="133"/>
      <c r="UYF92" s="133"/>
      <c r="UYG92" s="133"/>
      <c r="UYH92" s="133"/>
      <c r="UYI92" s="133"/>
      <c r="UYJ92" s="133"/>
      <c r="UYK92" s="133"/>
      <c r="UYL92" s="133"/>
      <c r="UYM92" s="133"/>
      <c r="UYN92" s="133"/>
      <c r="UYO92" s="133"/>
      <c r="UYP92" s="133"/>
      <c r="UYQ92" s="133"/>
      <c r="UYR92" s="133"/>
      <c r="UYS92" s="133"/>
      <c r="UYT92" s="133"/>
      <c r="UYU92" s="133"/>
      <c r="UYV92" s="133"/>
      <c r="UYW92" s="133"/>
      <c r="UYX92" s="133"/>
      <c r="UYY92" s="133"/>
      <c r="UYZ92" s="133"/>
      <c r="UZA92" s="133"/>
      <c r="UZB92" s="133"/>
      <c r="UZC92" s="133"/>
      <c r="UZD92" s="133"/>
      <c r="UZE92" s="133"/>
      <c r="UZF92" s="133"/>
      <c r="UZG92" s="133"/>
      <c r="UZH92" s="133"/>
      <c r="UZI92" s="133"/>
      <c r="UZJ92" s="133"/>
      <c r="UZK92" s="133"/>
      <c r="UZL92" s="133"/>
      <c r="UZM92" s="133"/>
      <c r="UZN92" s="133"/>
      <c r="UZO92" s="133"/>
      <c r="UZP92" s="133"/>
      <c r="UZQ92" s="133"/>
      <c r="UZR92" s="133"/>
      <c r="UZS92" s="133"/>
      <c r="UZT92" s="133"/>
      <c r="UZU92" s="133"/>
      <c r="UZV92" s="133"/>
      <c r="UZW92" s="133"/>
      <c r="UZX92" s="133"/>
      <c r="UZY92" s="133"/>
      <c r="UZZ92" s="133"/>
      <c r="VAA92" s="133"/>
      <c r="VAB92" s="133"/>
      <c r="VAC92" s="133"/>
      <c r="VAD92" s="133"/>
      <c r="VAE92" s="133"/>
      <c r="VAF92" s="133"/>
      <c r="VAG92" s="133"/>
      <c r="VAH92" s="133"/>
      <c r="VAI92" s="133"/>
      <c r="VAJ92" s="133"/>
      <c r="VAK92" s="133"/>
      <c r="VAL92" s="133"/>
      <c r="VAM92" s="133"/>
      <c r="VAN92" s="133"/>
      <c r="VAO92" s="133"/>
      <c r="VAP92" s="133"/>
      <c r="VAQ92" s="133"/>
      <c r="VAR92" s="133"/>
      <c r="VAS92" s="133"/>
      <c r="VAT92" s="133"/>
      <c r="VAU92" s="133"/>
      <c r="VAV92" s="133"/>
      <c r="VAW92" s="133"/>
      <c r="VAX92" s="133"/>
      <c r="VAY92" s="133"/>
      <c r="VAZ92" s="133"/>
      <c r="VBA92" s="133"/>
      <c r="VBB92" s="133"/>
      <c r="VBC92" s="133"/>
      <c r="VBD92" s="133"/>
      <c r="VBE92" s="133"/>
      <c r="VBF92" s="133"/>
      <c r="VBG92" s="133"/>
      <c r="VBH92" s="133"/>
      <c r="VBI92" s="133"/>
      <c r="VBJ92" s="133"/>
      <c r="VBK92" s="133"/>
      <c r="VBL92" s="133"/>
      <c r="VBM92" s="133"/>
      <c r="VBN92" s="133"/>
      <c r="VBO92" s="133"/>
      <c r="VBP92" s="133"/>
      <c r="VBQ92" s="133"/>
      <c r="VBR92" s="133"/>
      <c r="VBS92" s="133"/>
      <c r="VBT92" s="133"/>
      <c r="VBU92" s="133"/>
      <c r="VBV92" s="133"/>
      <c r="VBW92" s="133"/>
      <c r="VBX92" s="133"/>
      <c r="VBY92" s="133"/>
      <c r="VBZ92" s="133"/>
      <c r="VCA92" s="133"/>
      <c r="VCB92" s="133"/>
      <c r="VCC92" s="133"/>
      <c r="VCD92" s="133"/>
      <c r="VCE92" s="133"/>
      <c r="VCF92" s="133"/>
      <c r="VCG92" s="133"/>
      <c r="VCH92" s="133"/>
      <c r="VCI92" s="133"/>
      <c r="VCJ92" s="133"/>
      <c r="VCK92" s="133"/>
      <c r="VCL92" s="133"/>
      <c r="VCM92" s="133"/>
      <c r="VCN92" s="133"/>
      <c r="VCO92" s="133"/>
      <c r="VCP92" s="133"/>
      <c r="VCQ92" s="133"/>
      <c r="VCR92" s="133"/>
      <c r="VCS92" s="133"/>
      <c r="VCT92" s="133"/>
      <c r="VCU92" s="133"/>
      <c r="VCV92" s="133"/>
      <c r="VCW92" s="133"/>
      <c r="VCX92" s="133"/>
      <c r="VCY92" s="133"/>
      <c r="VCZ92" s="133"/>
      <c r="VDA92" s="133"/>
      <c r="VDB92" s="133"/>
      <c r="VDC92" s="133"/>
      <c r="VDD92" s="133"/>
      <c r="VDE92" s="133"/>
      <c r="VDF92" s="133"/>
      <c r="VDG92" s="133"/>
      <c r="VDH92" s="133"/>
      <c r="VDI92" s="133"/>
      <c r="VDJ92" s="133"/>
      <c r="VDK92" s="133"/>
      <c r="VDL92" s="133"/>
      <c r="VDM92" s="133"/>
      <c r="VDN92" s="133"/>
      <c r="VDO92" s="133"/>
      <c r="VDP92" s="133"/>
      <c r="VDQ92" s="133"/>
      <c r="VDR92" s="133"/>
      <c r="VDS92" s="133"/>
      <c r="VDT92" s="133"/>
      <c r="VDU92" s="133"/>
      <c r="VDV92" s="133"/>
      <c r="VDW92" s="133"/>
      <c r="VDX92" s="133"/>
      <c r="VDY92" s="133"/>
      <c r="VDZ92" s="133"/>
      <c r="VEA92" s="133"/>
      <c r="VEB92" s="133"/>
      <c r="VEC92" s="133"/>
      <c r="VED92" s="133"/>
      <c r="VEE92" s="133"/>
      <c r="VEF92" s="133"/>
      <c r="VEG92" s="133"/>
      <c r="VEH92" s="133"/>
      <c r="VEI92" s="133"/>
      <c r="VEJ92" s="133"/>
      <c r="VEK92" s="133"/>
      <c r="VEL92" s="133"/>
      <c r="VEM92" s="133"/>
      <c r="VEN92" s="133"/>
      <c r="VEO92" s="133"/>
      <c r="VEP92" s="133"/>
      <c r="VEQ92" s="133"/>
      <c r="VER92" s="133"/>
      <c r="VES92" s="133"/>
      <c r="VET92" s="133"/>
      <c r="VEU92" s="133"/>
      <c r="VEV92" s="133"/>
      <c r="VEW92" s="133"/>
      <c r="VEX92" s="133"/>
      <c r="VEY92" s="133"/>
      <c r="VEZ92" s="133"/>
      <c r="VFA92" s="133"/>
      <c r="VFB92" s="133"/>
      <c r="VFC92" s="133"/>
      <c r="VFD92" s="133"/>
      <c r="VFE92" s="133"/>
      <c r="VFF92" s="133"/>
      <c r="VFG92" s="133"/>
      <c r="VFH92" s="133"/>
      <c r="VFI92" s="133"/>
      <c r="VFJ92" s="133"/>
      <c r="VFK92" s="133"/>
      <c r="VFL92" s="133"/>
      <c r="VFM92" s="133"/>
      <c r="VFN92" s="133"/>
      <c r="VFO92" s="133"/>
      <c r="VFP92" s="133"/>
      <c r="VFQ92" s="133"/>
      <c r="VFR92" s="133"/>
      <c r="VFS92" s="133"/>
      <c r="VFT92" s="133"/>
      <c r="VFU92" s="133"/>
      <c r="VFV92" s="133"/>
      <c r="VFW92" s="133"/>
      <c r="VFX92" s="133"/>
      <c r="VFY92" s="133"/>
      <c r="VFZ92" s="133"/>
      <c r="VGA92" s="133"/>
      <c r="VGB92" s="133"/>
      <c r="VGC92" s="133"/>
      <c r="VGD92" s="133"/>
      <c r="VGE92" s="133"/>
      <c r="VGF92" s="133"/>
      <c r="VGG92" s="133"/>
      <c r="VGH92" s="133"/>
      <c r="VGI92" s="133"/>
      <c r="VGJ92" s="133"/>
      <c r="VGK92" s="133"/>
      <c r="VGL92" s="133"/>
      <c r="VGM92" s="133"/>
      <c r="VGN92" s="133"/>
      <c r="VGO92" s="133"/>
      <c r="VGP92" s="133"/>
      <c r="VGQ92" s="133"/>
      <c r="VGR92" s="133"/>
      <c r="VGS92" s="133"/>
      <c r="VGT92" s="133"/>
      <c r="VGU92" s="133"/>
      <c r="VGV92" s="133"/>
      <c r="VGW92" s="133"/>
      <c r="VGX92" s="133"/>
      <c r="VGY92" s="133"/>
      <c r="VGZ92" s="133"/>
      <c r="VHA92" s="133"/>
      <c r="VHB92" s="133"/>
      <c r="VHC92" s="133"/>
      <c r="VHD92" s="133"/>
      <c r="VHE92" s="133"/>
      <c r="VHF92" s="133"/>
      <c r="VHG92" s="133"/>
      <c r="VHH92" s="133"/>
      <c r="VHI92" s="133"/>
      <c r="VHJ92" s="133"/>
      <c r="VHK92" s="133"/>
      <c r="VHL92" s="133"/>
      <c r="VHM92" s="133"/>
      <c r="VHN92" s="133"/>
      <c r="VHO92" s="133"/>
      <c r="VHP92" s="133"/>
      <c r="VHQ92" s="133"/>
      <c r="VHR92" s="133"/>
      <c r="VHS92" s="133"/>
      <c r="VHT92" s="133"/>
      <c r="VHU92" s="133"/>
      <c r="VHV92" s="133"/>
      <c r="VHW92" s="133"/>
      <c r="VHX92" s="133"/>
      <c r="VHY92" s="133"/>
      <c r="VHZ92" s="133"/>
      <c r="VIA92" s="133"/>
      <c r="VIB92" s="133"/>
      <c r="VIC92" s="133"/>
      <c r="VID92" s="133"/>
      <c r="VIE92" s="133"/>
      <c r="VIF92" s="133"/>
      <c r="VIG92" s="133"/>
      <c r="VIH92" s="133"/>
      <c r="VII92" s="133"/>
      <c r="VIJ92" s="133"/>
      <c r="VIK92" s="133"/>
      <c r="VIL92" s="133"/>
      <c r="VIM92" s="133"/>
      <c r="VIN92" s="133"/>
      <c r="VIO92" s="133"/>
      <c r="VIP92" s="133"/>
      <c r="VIQ92" s="133"/>
      <c r="VIR92" s="133"/>
      <c r="VIS92" s="133"/>
      <c r="VIT92" s="133"/>
      <c r="VIU92" s="133"/>
      <c r="VIV92" s="133"/>
      <c r="VIW92" s="133"/>
      <c r="VIX92" s="133"/>
      <c r="VIY92" s="133"/>
      <c r="VIZ92" s="133"/>
      <c r="VJA92" s="133"/>
      <c r="VJB92" s="133"/>
      <c r="VJC92" s="133"/>
      <c r="VJD92" s="133"/>
      <c r="VJE92" s="133"/>
      <c r="VJF92" s="133"/>
      <c r="VJG92" s="133"/>
      <c r="VJH92" s="133"/>
      <c r="VJI92" s="133"/>
      <c r="VJJ92" s="133"/>
      <c r="VJK92" s="133"/>
      <c r="VJL92" s="133"/>
      <c r="VJM92" s="133"/>
      <c r="VJN92" s="133"/>
      <c r="VJO92" s="133"/>
      <c r="VJP92" s="133"/>
      <c r="VJQ92" s="133"/>
      <c r="VJR92" s="133"/>
      <c r="VJS92" s="133"/>
      <c r="VJT92" s="133"/>
      <c r="VJU92" s="133"/>
      <c r="VJV92" s="133"/>
      <c r="VJW92" s="133"/>
      <c r="VJX92" s="133"/>
      <c r="VJY92" s="133"/>
      <c r="VJZ92" s="133"/>
      <c r="VKA92" s="133"/>
      <c r="VKB92" s="133"/>
      <c r="VKC92" s="133"/>
      <c r="VKD92" s="133"/>
      <c r="VKE92" s="133"/>
      <c r="VKF92" s="133"/>
      <c r="VKG92" s="133"/>
      <c r="VKH92" s="133"/>
      <c r="VKI92" s="133"/>
      <c r="VKJ92" s="133"/>
      <c r="VKK92" s="133"/>
      <c r="VKL92" s="133"/>
      <c r="VKM92" s="133"/>
      <c r="VKN92" s="133"/>
      <c r="VKO92" s="133"/>
      <c r="VKP92" s="133"/>
      <c r="VKQ92" s="133"/>
      <c r="VKR92" s="133"/>
      <c r="VKS92" s="133"/>
      <c r="VKT92" s="133"/>
      <c r="VKU92" s="133"/>
      <c r="VKV92" s="133"/>
      <c r="VKW92" s="133"/>
      <c r="VKX92" s="133"/>
      <c r="VKY92" s="133"/>
      <c r="VKZ92" s="133"/>
      <c r="VLA92" s="133"/>
      <c r="VLB92" s="133"/>
      <c r="VLC92" s="133"/>
      <c r="VLD92" s="133"/>
      <c r="VLE92" s="133"/>
      <c r="VLF92" s="133"/>
      <c r="VLG92" s="133"/>
      <c r="VLH92" s="133"/>
      <c r="VLI92" s="133"/>
      <c r="VLJ92" s="133"/>
      <c r="VLK92" s="133"/>
      <c r="VLL92" s="133"/>
      <c r="VLM92" s="133"/>
      <c r="VLN92" s="133"/>
      <c r="VLO92" s="133"/>
      <c r="VLP92" s="133"/>
      <c r="VLQ92" s="133"/>
      <c r="VLR92" s="133"/>
      <c r="VLS92" s="133"/>
      <c r="VLT92" s="133"/>
      <c r="VLU92" s="133"/>
      <c r="VLV92" s="133"/>
      <c r="VLW92" s="133"/>
      <c r="VLX92" s="133"/>
      <c r="VLY92" s="133"/>
      <c r="VLZ92" s="133"/>
      <c r="VMA92" s="133"/>
      <c r="VMB92" s="133"/>
      <c r="VMC92" s="133"/>
      <c r="VMD92" s="133"/>
      <c r="VME92" s="133"/>
      <c r="VMF92" s="133"/>
      <c r="VMG92" s="133"/>
      <c r="VMH92" s="133"/>
      <c r="VMI92" s="133"/>
      <c r="VMJ92" s="133"/>
      <c r="VMK92" s="133"/>
      <c r="VML92" s="133"/>
      <c r="VMM92" s="133"/>
      <c r="VMN92" s="133"/>
      <c r="VMO92" s="133"/>
      <c r="VMP92" s="133"/>
      <c r="VMQ92" s="133"/>
      <c r="VMR92" s="133"/>
      <c r="VMS92" s="133"/>
      <c r="VMT92" s="133"/>
      <c r="VMU92" s="133"/>
      <c r="VMV92" s="133"/>
      <c r="VMW92" s="133"/>
      <c r="VMX92" s="133"/>
      <c r="VMY92" s="133"/>
      <c r="VMZ92" s="133"/>
      <c r="VNA92" s="133"/>
      <c r="VNB92" s="133"/>
      <c r="VNC92" s="133"/>
      <c r="VND92" s="133"/>
      <c r="VNE92" s="133"/>
      <c r="VNF92" s="133"/>
      <c r="VNG92" s="133"/>
      <c r="VNH92" s="133"/>
      <c r="VNI92" s="133"/>
      <c r="VNJ92" s="133"/>
      <c r="VNK92" s="133"/>
      <c r="VNL92" s="133"/>
      <c r="VNM92" s="133"/>
      <c r="VNN92" s="133"/>
      <c r="VNO92" s="133"/>
      <c r="VNP92" s="133"/>
      <c r="VNQ92" s="133"/>
      <c r="VNR92" s="133"/>
      <c r="VNS92" s="133"/>
      <c r="VNT92" s="133"/>
      <c r="VNU92" s="133"/>
      <c r="VNV92" s="133"/>
      <c r="VNW92" s="133"/>
      <c r="VNX92" s="133"/>
      <c r="VNY92" s="133"/>
      <c r="VNZ92" s="133"/>
      <c r="VOA92" s="133"/>
      <c r="VOB92" s="133"/>
      <c r="VOC92" s="133"/>
      <c r="VOD92" s="133"/>
      <c r="VOE92" s="133"/>
      <c r="VOF92" s="133"/>
      <c r="VOG92" s="133"/>
      <c r="VOH92" s="133"/>
      <c r="VOI92" s="133"/>
      <c r="VOJ92" s="133"/>
      <c r="VOK92" s="133"/>
      <c r="VOL92" s="133"/>
      <c r="VOM92" s="133"/>
      <c r="VON92" s="133"/>
      <c r="VOO92" s="133"/>
      <c r="VOP92" s="133"/>
      <c r="VOQ92" s="133"/>
      <c r="VOR92" s="133"/>
      <c r="VOS92" s="133"/>
      <c r="VOT92" s="133"/>
      <c r="VOU92" s="133"/>
      <c r="VOV92" s="133"/>
      <c r="VOW92" s="133"/>
      <c r="VOX92" s="133"/>
      <c r="VOY92" s="133"/>
      <c r="VOZ92" s="133"/>
      <c r="VPA92" s="133"/>
      <c r="VPB92" s="133"/>
      <c r="VPC92" s="133"/>
      <c r="VPD92" s="133"/>
      <c r="VPE92" s="133"/>
      <c r="VPF92" s="133"/>
      <c r="VPG92" s="133"/>
      <c r="VPH92" s="133"/>
      <c r="VPI92" s="133"/>
      <c r="VPJ92" s="133"/>
      <c r="VPK92" s="133"/>
      <c r="VPL92" s="133"/>
      <c r="VPM92" s="133"/>
      <c r="VPN92" s="133"/>
      <c r="VPO92" s="133"/>
      <c r="VPP92" s="133"/>
      <c r="VPQ92" s="133"/>
      <c r="VPR92" s="133"/>
      <c r="VPS92" s="133"/>
      <c r="VPT92" s="133"/>
      <c r="VPU92" s="133"/>
      <c r="VPV92" s="133"/>
      <c r="VPW92" s="133"/>
      <c r="VPX92" s="133"/>
      <c r="VPY92" s="133"/>
      <c r="VPZ92" s="133"/>
      <c r="VQA92" s="133"/>
      <c r="VQB92" s="133"/>
      <c r="VQC92" s="133"/>
      <c r="VQD92" s="133"/>
      <c r="VQE92" s="133"/>
      <c r="VQF92" s="133"/>
      <c r="VQG92" s="133"/>
      <c r="VQH92" s="133"/>
      <c r="VQI92" s="133"/>
      <c r="VQJ92" s="133"/>
      <c r="VQK92" s="133"/>
      <c r="VQL92" s="133"/>
      <c r="VQM92" s="133"/>
      <c r="VQN92" s="133"/>
      <c r="VQO92" s="133"/>
      <c r="VQP92" s="133"/>
      <c r="VQQ92" s="133"/>
      <c r="VQR92" s="133"/>
      <c r="VQS92" s="133"/>
      <c r="VQT92" s="133"/>
      <c r="VQU92" s="133"/>
      <c r="VQV92" s="133"/>
      <c r="VQW92" s="133"/>
      <c r="VQX92" s="133"/>
      <c r="VQY92" s="133"/>
      <c r="VQZ92" s="133"/>
      <c r="VRA92" s="133"/>
      <c r="VRB92" s="133"/>
      <c r="VRC92" s="133"/>
      <c r="VRD92" s="133"/>
      <c r="VRE92" s="133"/>
      <c r="VRF92" s="133"/>
      <c r="VRG92" s="133"/>
      <c r="VRH92" s="133"/>
      <c r="VRI92" s="133"/>
      <c r="VRJ92" s="133"/>
      <c r="VRK92" s="133"/>
      <c r="VRL92" s="133"/>
      <c r="VRM92" s="133"/>
      <c r="VRN92" s="133"/>
      <c r="VRO92" s="133"/>
      <c r="VRP92" s="133"/>
      <c r="VRQ92" s="133"/>
      <c r="VRR92" s="133"/>
      <c r="VRS92" s="133"/>
      <c r="VRT92" s="133"/>
      <c r="VRU92" s="133"/>
      <c r="VRV92" s="133"/>
      <c r="VRW92" s="133"/>
      <c r="VRX92" s="133"/>
      <c r="VRY92" s="133"/>
      <c r="VRZ92" s="133"/>
      <c r="VSA92" s="133"/>
      <c r="VSB92" s="133"/>
      <c r="VSC92" s="133"/>
      <c r="VSD92" s="133"/>
      <c r="VSE92" s="133"/>
      <c r="VSF92" s="133"/>
      <c r="VSG92" s="133"/>
      <c r="VSH92" s="133"/>
      <c r="VSI92" s="133"/>
      <c r="VSJ92" s="133"/>
      <c r="VSK92" s="133"/>
      <c r="VSL92" s="133"/>
      <c r="VSM92" s="133"/>
      <c r="VSN92" s="133"/>
      <c r="VSO92" s="133"/>
      <c r="VSP92" s="133"/>
      <c r="VSQ92" s="133"/>
      <c r="VSR92" s="133"/>
      <c r="VSS92" s="133"/>
      <c r="VST92" s="133"/>
      <c r="VSU92" s="133"/>
      <c r="VSV92" s="133"/>
      <c r="VSW92" s="133"/>
      <c r="VSX92" s="133"/>
      <c r="VSY92" s="133"/>
      <c r="VSZ92" s="133"/>
      <c r="VTA92" s="133"/>
      <c r="VTB92" s="133"/>
      <c r="VTC92" s="133"/>
      <c r="VTD92" s="133"/>
      <c r="VTE92" s="133"/>
      <c r="VTF92" s="133"/>
      <c r="VTG92" s="133"/>
      <c r="VTH92" s="133"/>
      <c r="VTI92" s="133"/>
      <c r="VTJ92" s="133"/>
      <c r="VTK92" s="133"/>
      <c r="VTL92" s="133"/>
      <c r="VTM92" s="133"/>
      <c r="VTN92" s="133"/>
      <c r="VTO92" s="133"/>
      <c r="VTP92" s="133"/>
      <c r="VTQ92" s="133"/>
      <c r="VTR92" s="133"/>
      <c r="VTS92" s="133"/>
      <c r="VTT92" s="133"/>
      <c r="VTU92" s="133"/>
      <c r="VTV92" s="133"/>
      <c r="VTW92" s="133"/>
      <c r="VTX92" s="133"/>
      <c r="VTY92" s="133"/>
      <c r="VTZ92" s="133"/>
      <c r="VUA92" s="133"/>
      <c r="VUB92" s="133"/>
      <c r="VUC92" s="133"/>
      <c r="VUD92" s="133"/>
      <c r="VUE92" s="133"/>
      <c r="VUF92" s="133"/>
      <c r="VUG92" s="133"/>
      <c r="VUH92" s="133"/>
      <c r="VUI92" s="133"/>
      <c r="VUJ92" s="133"/>
      <c r="VUK92" s="133"/>
      <c r="VUL92" s="133"/>
      <c r="VUM92" s="133"/>
      <c r="VUN92" s="133"/>
      <c r="VUO92" s="133"/>
      <c r="VUP92" s="133"/>
      <c r="VUQ92" s="133"/>
      <c r="VUR92" s="133"/>
      <c r="VUS92" s="133"/>
      <c r="VUT92" s="133"/>
      <c r="VUU92" s="133"/>
      <c r="VUV92" s="133"/>
      <c r="VUW92" s="133"/>
      <c r="VUX92" s="133"/>
      <c r="VUY92" s="133"/>
      <c r="VUZ92" s="133"/>
      <c r="VVA92" s="133"/>
      <c r="VVB92" s="133"/>
      <c r="VVC92" s="133"/>
      <c r="VVD92" s="133"/>
      <c r="VVE92" s="133"/>
      <c r="VVF92" s="133"/>
      <c r="VVG92" s="133"/>
      <c r="VVH92" s="133"/>
      <c r="VVI92" s="133"/>
      <c r="VVJ92" s="133"/>
      <c r="VVK92" s="133"/>
      <c r="VVL92" s="133"/>
      <c r="VVM92" s="133"/>
      <c r="VVN92" s="133"/>
      <c r="VVO92" s="133"/>
      <c r="VVP92" s="133"/>
      <c r="VVQ92" s="133"/>
      <c r="VVR92" s="133"/>
      <c r="VVS92" s="133"/>
      <c r="VVT92" s="133"/>
      <c r="VVU92" s="133"/>
      <c r="VVV92" s="133"/>
      <c r="VVW92" s="133"/>
      <c r="VVX92" s="133"/>
      <c r="VVY92" s="133"/>
      <c r="VVZ92" s="133"/>
      <c r="VWA92" s="133"/>
      <c r="VWB92" s="133"/>
      <c r="VWC92" s="133"/>
      <c r="VWD92" s="133"/>
      <c r="VWE92" s="133"/>
      <c r="VWF92" s="133"/>
      <c r="VWG92" s="133"/>
      <c r="VWH92" s="133"/>
      <c r="VWI92" s="133"/>
      <c r="VWJ92" s="133"/>
      <c r="VWK92" s="133"/>
      <c r="VWL92" s="133"/>
      <c r="VWM92" s="133"/>
      <c r="VWN92" s="133"/>
      <c r="VWO92" s="133"/>
      <c r="VWP92" s="133"/>
      <c r="VWQ92" s="133"/>
      <c r="VWR92" s="133"/>
      <c r="VWS92" s="133"/>
      <c r="VWT92" s="133"/>
      <c r="VWU92" s="133"/>
      <c r="VWV92" s="133"/>
      <c r="VWW92" s="133"/>
      <c r="VWX92" s="133"/>
      <c r="VWY92" s="133"/>
      <c r="VWZ92" s="133"/>
      <c r="VXA92" s="133"/>
      <c r="VXB92" s="133"/>
      <c r="VXC92" s="133"/>
      <c r="VXD92" s="133"/>
      <c r="VXE92" s="133"/>
      <c r="VXF92" s="133"/>
      <c r="VXG92" s="133"/>
      <c r="VXH92" s="133"/>
      <c r="VXI92" s="133"/>
      <c r="VXJ92" s="133"/>
      <c r="VXK92" s="133"/>
      <c r="VXL92" s="133"/>
      <c r="VXM92" s="133"/>
      <c r="VXN92" s="133"/>
      <c r="VXO92" s="133"/>
      <c r="VXP92" s="133"/>
      <c r="VXQ92" s="133"/>
      <c r="VXR92" s="133"/>
      <c r="VXS92" s="133"/>
      <c r="VXT92" s="133"/>
      <c r="VXU92" s="133"/>
      <c r="VXV92" s="133"/>
      <c r="VXW92" s="133"/>
      <c r="VXX92" s="133"/>
      <c r="VXY92" s="133"/>
      <c r="VXZ92" s="133"/>
      <c r="VYA92" s="133"/>
      <c r="VYB92" s="133"/>
      <c r="VYC92" s="133"/>
      <c r="VYD92" s="133"/>
      <c r="VYE92" s="133"/>
      <c r="VYF92" s="133"/>
      <c r="VYG92" s="133"/>
      <c r="VYH92" s="133"/>
      <c r="VYI92" s="133"/>
      <c r="VYJ92" s="133"/>
      <c r="VYK92" s="133"/>
      <c r="VYL92" s="133"/>
      <c r="VYM92" s="133"/>
      <c r="VYN92" s="133"/>
      <c r="VYO92" s="133"/>
      <c r="VYP92" s="133"/>
      <c r="VYQ92" s="133"/>
      <c r="VYR92" s="133"/>
      <c r="VYS92" s="133"/>
      <c r="VYT92" s="133"/>
      <c r="VYU92" s="133"/>
      <c r="VYV92" s="133"/>
      <c r="VYW92" s="133"/>
      <c r="VYX92" s="133"/>
      <c r="VYY92" s="133"/>
      <c r="VYZ92" s="133"/>
      <c r="VZA92" s="133"/>
      <c r="VZB92" s="133"/>
      <c r="VZC92" s="133"/>
      <c r="VZD92" s="133"/>
      <c r="VZE92" s="133"/>
      <c r="VZF92" s="133"/>
      <c r="VZG92" s="133"/>
      <c r="VZH92" s="133"/>
      <c r="VZI92" s="133"/>
      <c r="VZJ92" s="133"/>
      <c r="VZK92" s="133"/>
      <c r="VZL92" s="133"/>
      <c r="VZM92" s="133"/>
      <c r="VZN92" s="133"/>
      <c r="VZO92" s="133"/>
      <c r="VZP92" s="133"/>
      <c r="VZQ92" s="133"/>
      <c r="VZR92" s="133"/>
      <c r="VZS92" s="133"/>
      <c r="VZT92" s="133"/>
      <c r="VZU92" s="133"/>
      <c r="VZV92" s="133"/>
      <c r="VZW92" s="133"/>
      <c r="VZX92" s="133"/>
      <c r="VZY92" s="133"/>
      <c r="VZZ92" s="133"/>
      <c r="WAA92" s="133"/>
      <c r="WAB92" s="133"/>
      <c r="WAC92" s="133"/>
      <c r="WAD92" s="133"/>
      <c r="WAE92" s="133"/>
      <c r="WAF92" s="133"/>
      <c r="WAG92" s="133"/>
      <c r="WAH92" s="133"/>
      <c r="WAI92" s="133"/>
      <c r="WAJ92" s="133"/>
      <c r="WAK92" s="133"/>
      <c r="WAL92" s="133"/>
      <c r="WAM92" s="133"/>
      <c r="WAN92" s="133"/>
      <c r="WAO92" s="133"/>
      <c r="WAP92" s="133"/>
      <c r="WAQ92" s="133"/>
      <c r="WAR92" s="133"/>
      <c r="WAS92" s="133"/>
      <c r="WAT92" s="133"/>
      <c r="WAU92" s="133"/>
      <c r="WAV92" s="133"/>
      <c r="WAW92" s="133"/>
      <c r="WAX92" s="133"/>
      <c r="WAY92" s="133"/>
      <c r="WAZ92" s="133"/>
      <c r="WBA92" s="133"/>
      <c r="WBB92" s="133"/>
      <c r="WBC92" s="133"/>
      <c r="WBD92" s="133"/>
      <c r="WBE92" s="133"/>
      <c r="WBF92" s="133"/>
      <c r="WBG92" s="133"/>
      <c r="WBH92" s="133"/>
      <c r="WBI92" s="133"/>
      <c r="WBJ92" s="133"/>
      <c r="WBK92" s="133"/>
      <c r="WBL92" s="133"/>
      <c r="WBM92" s="133"/>
      <c r="WBN92" s="133"/>
      <c r="WBO92" s="133"/>
      <c r="WBP92" s="133"/>
      <c r="WBQ92" s="133"/>
      <c r="WBR92" s="133"/>
      <c r="WBS92" s="133"/>
      <c r="WBT92" s="133"/>
      <c r="WBU92" s="133"/>
      <c r="WBV92" s="133"/>
      <c r="WBW92" s="133"/>
      <c r="WBX92" s="133"/>
      <c r="WBY92" s="133"/>
      <c r="WBZ92" s="133"/>
      <c r="WCA92" s="133"/>
      <c r="WCB92" s="133"/>
      <c r="WCC92" s="133"/>
      <c r="WCD92" s="133"/>
      <c r="WCE92" s="133"/>
      <c r="WCF92" s="133"/>
      <c r="WCG92" s="133"/>
      <c r="WCH92" s="133"/>
      <c r="WCI92" s="133"/>
      <c r="WCJ92" s="133"/>
      <c r="WCK92" s="133"/>
      <c r="WCL92" s="133"/>
      <c r="WCM92" s="133"/>
      <c r="WCN92" s="133"/>
      <c r="WCO92" s="133"/>
      <c r="WCP92" s="133"/>
      <c r="WCQ92" s="133"/>
      <c r="WCR92" s="133"/>
      <c r="WCS92" s="133"/>
      <c r="WCT92" s="133"/>
      <c r="WCU92" s="133"/>
      <c r="WCV92" s="133"/>
      <c r="WCW92" s="133"/>
      <c r="WCX92" s="133"/>
      <c r="WCY92" s="133"/>
      <c r="WCZ92" s="133"/>
      <c r="WDA92" s="133"/>
      <c r="WDB92" s="133"/>
      <c r="WDC92" s="133"/>
      <c r="WDD92" s="133"/>
      <c r="WDE92" s="133"/>
      <c r="WDF92" s="133"/>
      <c r="WDG92" s="133"/>
      <c r="WDH92" s="133"/>
      <c r="WDI92" s="133"/>
      <c r="WDJ92" s="133"/>
      <c r="WDK92" s="133"/>
      <c r="WDL92" s="133"/>
      <c r="WDM92" s="133"/>
      <c r="WDN92" s="133"/>
      <c r="WDO92" s="133"/>
      <c r="WDP92" s="133"/>
      <c r="WDQ92" s="133"/>
      <c r="WDR92" s="133"/>
      <c r="WDS92" s="133"/>
      <c r="WDT92" s="133"/>
      <c r="WDU92" s="133"/>
      <c r="WDV92" s="133"/>
      <c r="WDW92" s="133"/>
      <c r="WDX92" s="133"/>
      <c r="WDY92" s="133"/>
      <c r="WDZ92" s="133"/>
      <c r="WEA92" s="133"/>
      <c r="WEB92" s="133"/>
      <c r="WEC92" s="133"/>
      <c r="WED92" s="133"/>
      <c r="WEE92" s="133"/>
      <c r="WEF92" s="133"/>
      <c r="WEG92" s="133"/>
      <c r="WEH92" s="133"/>
      <c r="WEI92" s="133"/>
      <c r="WEJ92" s="133"/>
      <c r="WEK92" s="133"/>
      <c r="WEL92" s="133"/>
      <c r="WEM92" s="133"/>
      <c r="WEN92" s="133"/>
      <c r="WEO92" s="133"/>
      <c r="WEP92" s="133"/>
      <c r="WEQ92" s="133"/>
      <c r="WER92" s="133"/>
      <c r="WES92" s="133"/>
      <c r="WET92" s="133"/>
      <c r="WEU92" s="133"/>
      <c r="WEV92" s="133"/>
      <c r="WEW92" s="133"/>
      <c r="WEX92" s="133"/>
      <c r="WEY92" s="133"/>
      <c r="WEZ92" s="133"/>
      <c r="WFA92" s="133"/>
      <c r="WFB92" s="133"/>
      <c r="WFC92" s="133"/>
      <c r="WFD92" s="133"/>
      <c r="WFE92" s="133"/>
      <c r="WFF92" s="133"/>
      <c r="WFG92" s="133"/>
      <c r="WFH92" s="133"/>
      <c r="WFI92" s="133"/>
      <c r="WFJ92" s="133"/>
      <c r="WFK92" s="133"/>
      <c r="WFL92" s="133"/>
      <c r="WFM92" s="133"/>
      <c r="WFN92" s="133"/>
      <c r="WFO92" s="133"/>
      <c r="WFP92" s="133"/>
      <c r="WFQ92" s="133"/>
      <c r="WFR92" s="133"/>
      <c r="WFS92" s="133"/>
      <c r="WFT92" s="133"/>
      <c r="WFU92" s="133"/>
      <c r="WFV92" s="133"/>
      <c r="WFW92" s="133"/>
      <c r="WFX92" s="133"/>
      <c r="WFY92" s="133"/>
      <c r="WFZ92" s="133"/>
      <c r="WGA92" s="133"/>
      <c r="WGB92" s="133"/>
      <c r="WGC92" s="133"/>
      <c r="WGD92" s="133"/>
      <c r="WGE92" s="133"/>
      <c r="WGF92" s="133"/>
      <c r="WGG92" s="133"/>
      <c r="WGH92" s="133"/>
      <c r="WGI92" s="133"/>
      <c r="WGJ92" s="133"/>
      <c r="WGK92" s="133"/>
      <c r="WGL92" s="133"/>
      <c r="WGM92" s="133"/>
      <c r="WGN92" s="133"/>
      <c r="WGO92" s="133"/>
      <c r="WGP92" s="133"/>
      <c r="WGQ92" s="133"/>
      <c r="WGR92" s="133"/>
      <c r="WGS92" s="133"/>
      <c r="WGT92" s="133"/>
      <c r="WGU92" s="133"/>
      <c r="WGV92" s="133"/>
      <c r="WGW92" s="133"/>
      <c r="WGX92" s="133"/>
      <c r="WGY92" s="133"/>
      <c r="WGZ92" s="133"/>
      <c r="WHA92" s="133"/>
      <c r="WHB92" s="133"/>
      <c r="WHC92" s="133"/>
      <c r="WHD92" s="133"/>
      <c r="WHE92" s="133"/>
      <c r="WHF92" s="133"/>
      <c r="WHG92" s="133"/>
      <c r="WHH92" s="133"/>
      <c r="WHI92" s="133"/>
      <c r="WHJ92" s="133"/>
      <c r="WHK92" s="133"/>
      <c r="WHL92" s="133"/>
      <c r="WHM92" s="133"/>
      <c r="WHN92" s="133"/>
      <c r="WHO92" s="133"/>
      <c r="WHP92" s="133"/>
      <c r="WHQ92" s="133"/>
      <c r="WHR92" s="133"/>
      <c r="WHS92" s="133"/>
      <c r="WHT92" s="133"/>
      <c r="WHU92" s="133"/>
      <c r="WHV92" s="133"/>
      <c r="WHW92" s="133"/>
      <c r="WHX92" s="133"/>
      <c r="WHY92" s="133"/>
      <c r="WHZ92" s="133"/>
      <c r="WIA92" s="133"/>
      <c r="WIB92" s="133"/>
      <c r="WIC92" s="133"/>
      <c r="WID92" s="133"/>
      <c r="WIE92" s="133"/>
      <c r="WIF92" s="133"/>
      <c r="WIG92" s="133"/>
      <c r="WIH92" s="133"/>
      <c r="WII92" s="133"/>
      <c r="WIJ92" s="133"/>
      <c r="WIK92" s="133"/>
      <c r="WIL92" s="133"/>
      <c r="WIM92" s="133"/>
      <c r="WIN92" s="133"/>
      <c r="WIO92" s="133"/>
      <c r="WIP92" s="133"/>
      <c r="WIQ92" s="133"/>
      <c r="WIR92" s="133"/>
      <c r="WIS92" s="133"/>
      <c r="WIT92" s="133"/>
      <c r="WIU92" s="133"/>
      <c r="WIV92" s="133"/>
      <c r="WIW92" s="133"/>
      <c r="WIX92" s="133"/>
      <c r="WIY92" s="133"/>
      <c r="WIZ92" s="133"/>
      <c r="WJA92" s="133"/>
      <c r="WJB92" s="133"/>
      <c r="WJC92" s="133"/>
      <c r="WJD92" s="133"/>
      <c r="WJE92" s="133"/>
      <c r="WJF92" s="133"/>
      <c r="WJG92" s="133"/>
      <c r="WJH92" s="133"/>
      <c r="WJI92" s="133"/>
      <c r="WJJ92" s="133"/>
      <c r="WJK92" s="133"/>
      <c r="WJL92" s="133"/>
      <c r="WJM92" s="133"/>
      <c r="WJN92" s="133"/>
      <c r="WJO92" s="133"/>
      <c r="WJP92" s="133"/>
      <c r="WJQ92" s="133"/>
      <c r="WJR92" s="133"/>
      <c r="WJS92" s="133"/>
      <c r="WJT92" s="133"/>
      <c r="WJU92" s="133"/>
      <c r="WJV92" s="133"/>
      <c r="WJW92" s="133"/>
      <c r="WJX92" s="133"/>
      <c r="WJY92" s="133"/>
      <c r="WJZ92" s="133"/>
      <c r="WKA92" s="133"/>
      <c r="WKB92" s="133"/>
      <c r="WKC92" s="133"/>
      <c r="WKD92" s="133"/>
      <c r="WKE92" s="133"/>
      <c r="WKF92" s="133"/>
      <c r="WKG92" s="133"/>
      <c r="WKH92" s="133"/>
      <c r="WKI92" s="133"/>
      <c r="WKJ92" s="133"/>
      <c r="WKK92" s="133"/>
      <c r="WKL92" s="133"/>
      <c r="WKM92" s="133"/>
      <c r="WKN92" s="133"/>
      <c r="WKO92" s="133"/>
      <c r="WKP92" s="133"/>
      <c r="WKQ92" s="133"/>
      <c r="WKR92" s="133"/>
      <c r="WKS92" s="133"/>
      <c r="WKT92" s="133"/>
      <c r="WKU92" s="133"/>
      <c r="WKV92" s="133"/>
      <c r="WKW92" s="133"/>
      <c r="WKX92" s="133"/>
      <c r="WKY92" s="133"/>
      <c r="WKZ92" s="133"/>
      <c r="WLA92" s="133"/>
      <c r="WLB92" s="133"/>
      <c r="WLC92" s="133"/>
      <c r="WLD92" s="133"/>
      <c r="WLE92" s="133"/>
      <c r="WLF92" s="133"/>
      <c r="WLG92" s="133"/>
      <c r="WLH92" s="133"/>
      <c r="WLI92" s="133"/>
      <c r="WLJ92" s="133"/>
      <c r="WLK92" s="133"/>
      <c r="WLL92" s="133"/>
      <c r="WLM92" s="133"/>
      <c r="WLN92" s="133"/>
      <c r="WLO92" s="133"/>
      <c r="WLP92" s="133"/>
      <c r="WLQ92" s="133"/>
      <c r="WLR92" s="133"/>
      <c r="WLS92" s="133"/>
      <c r="WLT92" s="133"/>
      <c r="WLU92" s="133"/>
      <c r="WLV92" s="133"/>
      <c r="WLW92" s="133"/>
      <c r="WLX92" s="133"/>
      <c r="WLY92" s="133"/>
      <c r="WLZ92" s="133"/>
      <c r="WMA92" s="133"/>
      <c r="WMB92" s="133"/>
      <c r="WMC92" s="133"/>
      <c r="WMD92" s="133"/>
      <c r="WME92" s="133"/>
      <c r="WMF92" s="133"/>
      <c r="WMG92" s="133"/>
      <c r="WMH92" s="133"/>
      <c r="WMI92" s="133"/>
      <c r="WMJ92" s="133"/>
      <c r="WMK92" s="133"/>
      <c r="WML92" s="133"/>
      <c r="WMM92" s="133"/>
      <c r="WMN92" s="133"/>
      <c r="WMO92" s="133"/>
      <c r="WMP92" s="133"/>
      <c r="WMQ92" s="133"/>
      <c r="WMR92" s="133"/>
      <c r="WMS92" s="133"/>
      <c r="WMT92" s="133"/>
      <c r="WMU92" s="133"/>
      <c r="WMV92" s="133"/>
      <c r="WMW92" s="133"/>
      <c r="WMX92" s="133"/>
      <c r="WMY92" s="133"/>
      <c r="WMZ92" s="133"/>
      <c r="WNA92" s="133"/>
      <c r="WNB92" s="133"/>
      <c r="WNC92" s="133"/>
      <c r="WND92" s="133"/>
      <c r="WNE92" s="133"/>
      <c r="WNF92" s="133"/>
      <c r="WNG92" s="133"/>
      <c r="WNH92" s="133"/>
      <c r="WNI92" s="133"/>
      <c r="WNJ92" s="133"/>
      <c r="WNK92" s="133"/>
      <c r="WNL92" s="133"/>
      <c r="WNM92" s="133"/>
      <c r="WNN92" s="133"/>
      <c r="WNO92" s="133"/>
      <c r="WNP92" s="133"/>
      <c r="WNQ92" s="133"/>
      <c r="WNR92" s="133"/>
      <c r="WNS92" s="133"/>
      <c r="WNT92" s="133"/>
      <c r="WNU92" s="133"/>
      <c r="WNV92" s="133"/>
      <c r="WNW92" s="133"/>
      <c r="WNX92" s="133"/>
      <c r="WNY92" s="133"/>
      <c r="WNZ92" s="133"/>
      <c r="WOA92" s="133"/>
      <c r="WOB92" s="133"/>
      <c r="WOC92" s="133"/>
      <c r="WOD92" s="133"/>
      <c r="WOE92" s="133"/>
      <c r="WOF92" s="133"/>
      <c r="WOG92" s="133"/>
      <c r="WOH92" s="133"/>
      <c r="WOI92" s="133"/>
      <c r="WOJ92" s="133"/>
      <c r="WOK92" s="133"/>
      <c r="WOL92" s="133"/>
      <c r="WOM92" s="133"/>
      <c r="WON92" s="133"/>
      <c r="WOO92" s="133"/>
      <c r="WOP92" s="133"/>
      <c r="WOQ92" s="133"/>
      <c r="WOR92" s="133"/>
      <c r="WOS92" s="133"/>
      <c r="WOT92" s="133"/>
      <c r="WOU92" s="133"/>
      <c r="WOV92" s="133"/>
      <c r="WOW92" s="133"/>
      <c r="WOX92" s="133"/>
      <c r="WOY92" s="133"/>
      <c r="WOZ92" s="133"/>
      <c r="WPA92" s="133"/>
      <c r="WPB92" s="133"/>
      <c r="WPC92" s="133"/>
      <c r="WPD92" s="133"/>
      <c r="WPE92" s="133"/>
      <c r="WPF92" s="133"/>
      <c r="WPG92" s="133"/>
      <c r="WPH92" s="133"/>
      <c r="WPI92" s="133"/>
      <c r="WPJ92" s="133"/>
      <c r="WPK92" s="133"/>
      <c r="WPL92" s="133"/>
      <c r="WPM92" s="133"/>
      <c r="WPN92" s="133"/>
      <c r="WPO92" s="133"/>
      <c r="WPP92" s="133"/>
      <c r="WPQ92" s="133"/>
      <c r="WPR92" s="133"/>
      <c r="WPS92" s="133"/>
      <c r="WPT92" s="133"/>
      <c r="WPU92" s="133"/>
      <c r="WPV92" s="133"/>
      <c r="WPW92" s="133"/>
      <c r="WPX92" s="133"/>
      <c r="WPY92" s="133"/>
      <c r="WPZ92" s="133"/>
      <c r="WQA92" s="133"/>
      <c r="WQB92" s="133"/>
      <c r="WQC92" s="133"/>
      <c r="WQD92" s="133"/>
      <c r="WQE92" s="133"/>
      <c r="WQF92" s="133"/>
      <c r="WQG92" s="133"/>
      <c r="WQH92" s="133"/>
      <c r="WQI92" s="133"/>
      <c r="WQJ92" s="133"/>
      <c r="WQK92" s="133"/>
      <c r="WQL92" s="133"/>
      <c r="WQM92" s="133"/>
      <c r="WQN92" s="133"/>
      <c r="WQO92" s="133"/>
      <c r="WQP92" s="133"/>
      <c r="WQQ92" s="133"/>
      <c r="WQR92" s="133"/>
      <c r="WQS92" s="133"/>
      <c r="WQT92" s="133"/>
      <c r="WQU92" s="133"/>
      <c r="WQV92" s="133"/>
      <c r="WQW92" s="133"/>
      <c r="WQX92" s="133"/>
      <c r="WQY92" s="133"/>
      <c r="WQZ92" s="133"/>
      <c r="WRA92" s="133"/>
      <c r="WRB92" s="133"/>
      <c r="WRC92" s="133"/>
      <c r="WRD92" s="133"/>
      <c r="WRE92" s="133"/>
      <c r="WRF92" s="133"/>
      <c r="WRG92" s="133"/>
      <c r="WRH92" s="133"/>
      <c r="WRI92" s="133"/>
      <c r="WRJ92" s="133"/>
      <c r="WRK92" s="133"/>
      <c r="WRL92" s="133"/>
      <c r="WRM92" s="133"/>
      <c r="WRN92" s="133"/>
      <c r="WRO92" s="133"/>
      <c r="WRP92" s="133"/>
      <c r="WRQ92" s="133"/>
      <c r="WRR92" s="133"/>
      <c r="WRS92" s="133"/>
      <c r="WRT92" s="133"/>
      <c r="WRU92" s="133"/>
      <c r="WRV92" s="133"/>
      <c r="WRW92" s="133"/>
      <c r="WRX92" s="133"/>
      <c r="WRY92" s="133"/>
      <c r="WRZ92" s="133"/>
      <c r="WSA92" s="133"/>
      <c r="WSB92" s="133"/>
      <c r="WSC92" s="133"/>
      <c r="WSD92" s="133"/>
      <c r="WSE92" s="133"/>
      <c r="WSF92" s="133"/>
      <c r="WSG92" s="133"/>
      <c r="WSH92" s="133"/>
      <c r="WSI92" s="133"/>
      <c r="WSJ92" s="133"/>
      <c r="WSK92" s="133"/>
      <c r="WSL92" s="133"/>
      <c r="WSM92" s="133"/>
      <c r="WSN92" s="133"/>
      <c r="WSO92" s="133"/>
      <c r="WSP92" s="133"/>
      <c r="WSQ92" s="133"/>
      <c r="WSR92" s="133"/>
      <c r="WSS92" s="133"/>
      <c r="WST92" s="133"/>
      <c r="WSU92" s="133"/>
      <c r="WSV92" s="133"/>
      <c r="WSW92" s="133"/>
      <c r="WSX92" s="133"/>
      <c r="WSY92" s="133"/>
      <c r="WSZ92" s="133"/>
      <c r="WTA92" s="133"/>
      <c r="WTB92" s="133"/>
      <c r="WTC92" s="133"/>
      <c r="WTD92" s="133"/>
      <c r="WTE92" s="133"/>
      <c r="WTF92" s="133"/>
      <c r="WTG92" s="133"/>
      <c r="WTH92" s="133"/>
      <c r="WTI92" s="133"/>
      <c r="WTJ92" s="133"/>
      <c r="WTK92" s="133"/>
      <c r="WTL92" s="133"/>
      <c r="WTM92" s="133"/>
      <c r="WTN92" s="133"/>
      <c r="WTO92" s="133"/>
      <c r="WTP92" s="133"/>
      <c r="WTQ92" s="133"/>
      <c r="WTR92" s="133"/>
      <c r="WTS92" s="133"/>
      <c r="WTT92" s="133"/>
      <c r="WTU92" s="133"/>
      <c r="WTV92" s="133"/>
      <c r="WTW92" s="133"/>
      <c r="WTX92" s="133"/>
      <c r="WTY92" s="133"/>
      <c r="WTZ92" s="133"/>
      <c r="WUA92" s="133"/>
      <c r="WUB92" s="133"/>
      <c r="WUC92" s="133"/>
      <c r="WUD92" s="133"/>
      <c r="WUE92" s="133"/>
      <c r="WUF92" s="133"/>
      <c r="WUG92" s="133"/>
      <c r="WUH92" s="133"/>
      <c r="WUI92" s="133"/>
      <c r="WUJ92" s="133"/>
      <c r="WUK92" s="133"/>
      <c r="WUL92" s="133"/>
      <c r="WUM92" s="133"/>
      <c r="WUN92" s="133"/>
      <c r="WUO92" s="133"/>
      <c r="WUP92" s="133"/>
      <c r="WUQ92" s="133"/>
      <c r="WUR92" s="133"/>
      <c r="WUS92" s="133"/>
      <c r="WUT92" s="133"/>
      <c r="WUU92" s="133"/>
      <c r="WUV92" s="133"/>
      <c r="WUW92" s="133"/>
      <c r="WUX92" s="133"/>
      <c r="WUY92" s="133"/>
      <c r="WUZ92" s="133"/>
      <c r="WVA92" s="133"/>
      <c r="WVB92" s="133"/>
      <c r="WVC92" s="133"/>
      <c r="WVD92" s="133"/>
      <c r="WVE92" s="133"/>
      <c r="WVF92" s="133"/>
      <c r="WVG92" s="133"/>
      <c r="WVH92" s="133"/>
      <c r="WVI92" s="133"/>
      <c r="WVJ92" s="133"/>
      <c r="WVK92" s="133"/>
      <c r="WVL92" s="133"/>
      <c r="WVM92" s="133"/>
      <c r="WVN92" s="133"/>
      <c r="WVO92" s="133"/>
      <c r="WVP92" s="133"/>
      <c r="WVQ92" s="133"/>
      <c r="WVR92" s="133"/>
      <c r="WVS92" s="133"/>
      <c r="WVT92" s="133"/>
      <c r="WVU92" s="133"/>
      <c r="WVV92" s="133"/>
      <c r="WVW92" s="133"/>
      <c r="WVX92" s="133"/>
      <c r="WVY92" s="133"/>
      <c r="WVZ92" s="133"/>
      <c r="WWA92" s="133"/>
      <c r="WWB92" s="133"/>
      <c r="WWC92" s="133"/>
      <c r="WWD92" s="133"/>
      <c r="WWE92" s="133"/>
      <c r="WWF92" s="133"/>
      <c r="WWG92" s="133"/>
      <c r="WWH92" s="133"/>
      <c r="WWI92" s="133"/>
      <c r="WWJ92" s="133"/>
      <c r="WWK92" s="133"/>
      <c r="WWL92" s="133"/>
      <c r="WWM92" s="133"/>
      <c r="WWN92" s="133"/>
      <c r="WWO92" s="133"/>
      <c r="WWP92" s="133"/>
      <c r="WWQ92" s="133"/>
      <c r="WWR92" s="133"/>
      <c r="WWS92" s="133"/>
      <c r="WWT92" s="133"/>
      <c r="WWU92" s="133"/>
      <c r="WWV92" s="133"/>
      <c r="WWW92" s="133"/>
      <c r="WWX92" s="133"/>
      <c r="WWY92" s="133"/>
      <c r="WWZ92" s="133"/>
      <c r="WXA92" s="133"/>
      <c r="WXB92" s="133"/>
      <c r="WXC92" s="133"/>
      <c r="WXD92" s="133"/>
      <c r="WXE92" s="133"/>
      <c r="WXF92" s="133"/>
      <c r="WXG92" s="133"/>
      <c r="WXH92" s="133"/>
      <c r="WXI92" s="133"/>
      <c r="WXJ92" s="133"/>
      <c r="WXK92" s="133"/>
      <c r="WXL92" s="133"/>
      <c r="WXM92" s="133"/>
      <c r="WXN92" s="133"/>
      <c r="WXO92" s="133"/>
      <c r="WXP92" s="133"/>
      <c r="WXQ92" s="133"/>
      <c r="WXR92" s="133"/>
      <c r="WXS92" s="133"/>
      <c r="WXT92" s="133"/>
      <c r="WXU92" s="133"/>
      <c r="WXV92" s="133"/>
      <c r="WXW92" s="133"/>
      <c r="WXX92" s="133"/>
      <c r="WXY92" s="133"/>
      <c r="WXZ92" s="133"/>
      <c r="WYA92" s="133"/>
      <c r="WYB92" s="133"/>
      <c r="WYC92" s="133"/>
      <c r="WYD92" s="133"/>
      <c r="WYE92" s="133"/>
      <c r="WYF92" s="133"/>
      <c r="WYG92" s="133"/>
      <c r="WYH92" s="133"/>
      <c r="WYI92" s="133"/>
      <c r="WYJ92" s="133"/>
      <c r="WYK92" s="133"/>
      <c r="WYL92" s="133"/>
      <c r="WYM92" s="133"/>
      <c r="WYN92" s="133"/>
      <c r="WYO92" s="133"/>
      <c r="WYP92" s="133"/>
      <c r="WYQ92" s="133"/>
      <c r="WYR92" s="133"/>
      <c r="WYS92" s="133"/>
      <c r="WYT92" s="133"/>
      <c r="WYU92" s="133"/>
      <c r="WYV92" s="133"/>
      <c r="WYW92" s="133"/>
      <c r="WYX92" s="133"/>
      <c r="WYY92" s="133"/>
      <c r="WYZ92" s="133"/>
      <c r="WZA92" s="133"/>
      <c r="WZB92" s="133"/>
      <c r="WZC92" s="133"/>
      <c r="WZD92" s="133"/>
      <c r="WZE92" s="133"/>
      <c r="WZF92" s="133"/>
      <c r="WZG92" s="133"/>
      <c r="WZH92" s="133"/>
      <c r="WZI92" s="133"/>
      <c r="WZJ92" s="133"/>
      <c r="WZK92" s="133"/>
      <c r="WZL92" s="133"/>
      <c r="WZM92" s="133"/>
      <c r="WZN92" s="133"/>
      <c r="WZO92" s="133"/>
      <c r="WZP92" s="133"/>
      <c r="WZQ92" s="133"/>
      <c r="WZR92" s="133"/>
      <c r="WZS92" s="133"/>
      <c r="WZT92" s="133"/>
      <c r="WZU92" s="133"/>
      <c r="WZV92" s="133"/>
      <c r="WZW92" s="133"/>
      <c r="WZX92" s="133"/>
      <c r="WZY92" s="133"/>
      <c r="WZZ92" s="133"/>
      <c r="XAA92" s="133"/>
      <c r="XAB92" s="133"/>
      <c r="XAC92" s="133"/>
      <c r="XAD92" s="133"/>
      <c r="XAE92" s="133"/>
      <c r="XAF92" s="133"/>
      <c r="XAG92" s="133"/>
      <c r="XAH92" s="133"/>
      <c r="XAI92" s="133"/>
      <c r="XAJ92" s="133"/>
      <c r="XAK92" s="133"/>
      <c r="XAL92" s="133"/>
      <c r="XAM92" s="133"/>
      <c r="XAN92" s="133"/>
      <c r="XAO92" s="133"/>
      <c r="XAP92" s="133"/>
      <c r="XAQ92" s="133"/>
      <c r="XAR92" s="133"/>
      <c r="XAS92" s="133"/>
      <c r="XAT92" s="133"/>
      <c r="XAU92" s="133"/>
      <c r="XAV92" s="133"/>
      <c r="XAW92" s="133"/>
      <c r="XAX92" s="133"/>
      <c r="XAY92" s="133"/>
      <c r="XAZ92" s="133"/>
      <c r="XBA92" s="133"/>
      <c r="XBB92" s="133"/>
      <c r="XBC92" s="133"/>
      <c r="XBD92" s="133"/>
      <c r="XBE92" s="133"/>
      <c r="XBF92" s="133"/>
      <c r="XBG92" s="133"/>
      <c r="XBH92" s="133"/>
      <c r="XBI92" s="133"/>
      <c r="XBJ92" s="133"/>
      <c r="XBK92" s="133"/>
      <c r="XBL92" s="133"/>
      <c r="XBM92" s="133"/>
      <c r="XBN92" s="133"/>
      <c r="XBO92" s="133"/>
      <c r="XBP92" s="133"/>
      <c r="XBQ92" s="133"/>
      <c r="XBR92" s="133"/>
      <c r="XBS92" s="133"/>
      <c r="XBT92" s="133"/>
      <c r="XBU92" s="133"/>
      <c r="XBV92" s="133"/>
      <c r="XBW92" s="133"/>
      <c r="XBX92" s="133"/>
      <c r="XBY92" s="133"/>
      <c r="XBZ92" s="133"/>
      <c r="XCA92" s="133"/>
      <c r="XCB92" s="133"/>
      <c r="XCC92" s="133"/>
      <c r="XCD92" s="133"/>
      <c r="XCE92" s="133"/>
      <c r="XCF92" s="133"/>
      <c r="XCG92" s="133"/>
      <c r="XCH92" s="133"/>
      <c r="XCI92" s="133"/>
      <c r="XCJ92" s="133"/>
      <c r="XCK92" s="133"/>
      <c r="XCL92" s="133"/>
      <c r="XCM92" s="133"/>
      <c r="XCN92" s="133"/>
      <c r="XCO92" s="133"/>
      <c r="XCP92" s="133"/>
      <c r="XCQ92" s="133"/>
      <c r="XCR92" s="133"/>
      <c r="XCS92" s="133"/>
      <c r="XCT92" s="133"/>
      <c r="XCU92" s="133"/>
      <c r="XCV92" s="133"/>
      <c r="XCW92" s="133"/>
      <c r="XCX92" s="133"/>
      <c r="XCY92" s="133"/>
      <c r="XCZ92" s="133"/>
      <c r="XDA92" s="133"/>
      <c r="XDB92" s="133"/>
      <c r="XDC92" s="133"/>
      <c r="XDD92" s="133"/>
      <c r="XDE92" s="133"/>
      <c r="XDF92" s="133"/>
      <c r="XDG92" s="133"/>
      <c r="XDH92" s="133"/>
      <c r="XDI92" s="133"/>
      <c r="XDJ92" s="133"/>
      <c r="XDK92" s="133"/>
      <c r="XDL92" s="133"/>
      <c r="XDM92" s="133"/>
      <c r="XDN92" s="133"/>
      <c r="XDO92" s="133"/>
      <c r="XDP92" s="133"/>
      <c r="XDQ92" s="133"/>
      <c r="XDR92" s="133"/>
      <c r="XDS92" s="133"/>
      <c r="XDT92" s="133"/>
      <c r="XDU92" s="133"/>
      <c r="XDV92" s="133"/>
      <c r="XDW92" s="133"/>
      <c r="XDX92" s="133"/>
      <c r="XDY92" s="133"/>
      <c r="XDZ92" s="133"/>
      <c r="XEA92" s="133"/>
      <c r="XEB92" s="133"/>
      <c r="XEC92" s="133"/>
      <c r="XED92" s="133"/>
      <c r="XEE92" s="133"/>
      <c r="XEF92" s="133"/>
      <c r="XEG92" s="133"/>
      <c r="XEH92" s="133"/>
      <c r="XEI92" s="133"/>
      <c r="XEJ92" s="133"/>
      <c r="XEK92" s="133"/>
      <c r="XEL92" s="133"/>
      <c r="XEM92" s="133"/>
      <c r="XEN92" s="133"/>
      <c r="XEO92" s="133"/>
      <c r="XEP92" s="133"/>
      <c r="XEQ92" s="133"/>
      <c r="XER92" s="133"/>
      <c r="XES92" s="133"/>
      <c r="XET92" s="133"/>
      <c r="XEU92" s="133"/>
      <c r="XEV92" s="133"/>
      <c r="XEW92" s="133"/>
      <c r="XEX92" s="133"/>
      <c r="XEY92" s="133"/>
      <c r="XEZ92" s="133"/>
      <c r="XFA92" s="133"/>
      <c r="XFB92" s="133"/>
      <c r="XFC92" s="133"/>
      <c r="XFD92" s="133"/>
    </row>
    <row r="94" spans="1:16384" customFormat="1" x14ac:dyDescent="0.35">
      <c r="D94" t="s">
        <v>168</v>
      </c>
    </row>
    <row r="95" spans="1:16384" customFormat="1" x14ac:dyDescent="0.35">
      <c r="B95" t="s">
        <v>131</v>
      </c>
      <c r="C95" s="11">
        <f>P89</f>
        <v>91098.756568828903</v>
      </c>
      <c r="D95" s="44">
        <v>0.06</v>
      </c>
      <c r="E95" s="45">
        <f>D95+0.2%</f>
        <v>6.2E-2</v>
      </c>
      <c r="F95" s="45">
        <f t="shared" ref="F95:O95" si="51">E95+0.2%</f>
        <v>6.4000000000000001E-2</v>
      </c>
      <c r="G95" s="45">
        <f t="shared" si="51"/>
        <v>6.6000000000000003E-2</v>
      </c>
      <c r="H95" s="45">
        <f t="shared" si="51"/>
        <v>6.8000000000000005E-2</v>
      </c>
      <c r="I95" s="45">
        <f t="shared" si="51"/>
        <v>7.0000000000000007E-2</v>
      </c>
      <c r="J95" s="45">
        <f t="shared" si="51"/>
        <v>7.2000000000000008E-2</v>
      </c>
      <c r="K95" s="45">
        <f t="shared" si="51"/>
        <v>7.400000000000001E-2</v>
      </c>
      <c r="L95" s="45">
        <f t="shared" si="51"/>
        <v>7.6000000000000012E-2</v>
      </c>
      <c r="M95" s="45">
        <f t="shared" si="51"/>
        <v>7.8000000000000014E-2</v>
      </c>
      <c r="N95" s="45">
        <f t="shared" si="51"/>
        <v>8.0000000000000016E-2</v>
      </c>
      <c r="O95" s="45">
        <f t="shared" si="51"/>
        <v>8.2000000000000017E-2</v>
      </c>
      <c r="P95" s="45">
        <f>O95+0.2%</f>
        <v>8.4000000000000019E-2</v>
      </c>
    </row>
    <row r="96" spans="1:16384" customFormat="1" x14ac:dyDescent="0.35">
      <c r="B96" s="27"/>
      <c r="C96" s="43">
        <f t="shared" ref="C96:C98" si="52">C97-0.2%</f>
        <v>9.8199999999999996E-2</v>
      </c>
      <c r="D96" s="7">
        <f t="dataTable" ref="D96:P105" dt2D="1" dtr="1" r1="C19" r2="C18"/>
        <v>97562.229918500583</v>
      </c>
      <c r="E96" s="7">
        <v>101668.29454947276</v>
      </c>
      <c r="F96" s="7">
        <v>106278.84879742267</v>
      </c>
      <c r="G96" s="7">
        <v>111487.5685934483</v>
      </c>
      <c r="H96" s="7">
        <v>117412.94982520773</v>
      </c>
      <c r="I96" s="7">
        <v>124207.10964872288</v>
      </c>
      <c r="J96" s="7">
        <v>132068.61893717104</v>
      </c>
      <c r="K96" s="90">
        <v>141261.69792934545</v>
      </c>
      <c r="L96" s="90">
        <v>152145.7879063627</v>
      </c>
      <c r="M96" s="90">
        <v>165222.69020327553</v>
      </c>
      <c r="N96" s="90">
        <v>181214.78589008667</v>
      </c>
      <c r="O96" s="90">
        <v>201201.19595986095</v>
      </c>
      <c r="P96" s="90">
        <v>226869.00646749415</v>
      </c>
    </row>
    <row r="97" spans="3:16" x14ac:dyDescent="0.35">
      <c r="C97" s="43">
        <f t="shared" si="52"/>
        <v>0.1002</v>
      </c>
      <c r="D97" s="7">
        <v>92292.973153763349</v>
      </c>
      <c r="E97" s="7">
        <v>95907.621854479585</v>
      </c>
      <c r="F97" s="7">
        <v>99944.589247337019</v>
      </c>
      <c r="G97" s="7">
        <v>104477.65716219979</v>
      </c>
      <c r="H97" s="7">
        <v>109598.94314018566</v>
      </c>
      <c r="I97" s="7">
        <v>115424.97177602252</v>
      </c>
      <c r="J97" s="7">
        <v>122105.32961202666</v>
      </c>
      <c r="K97" s="90">
        <v>129835.28410743372</v>
      </c>
      <c r="L97" s="90">
        <v>138874.65994977683</v>
      </c>
      <c r="M97" s="90">
        <v>149576.91877983054</v>
      </c>
      <c r="N97" s="90">
        <v>162435.51400284536</v>
      </c>
      <c r="O97" s="90">
        <v>178160.80921393991</v>
      </c>
      <c r="P97" s="90">
        <v>197813.97323748685</v>
      </c>
    </row>
    <row r="98" spans="3:16" x14ac:dyDescent="0.35">
      <c r="C98" s="43">
        <f t="shared" si="52"/>
        <v>0.1022</v>
      </c>
      <c r="D98" s="7">
        <v>87531.500285810398</v>
      </c>
      <c r="E98" s="7">
        <v>90728.825573219132</v>
      </c>
      <c r="F98" s="7">
        <v>94282.66197200946</v>
      </c>
      <c r="G98" s="7">
        <v>98251.807602316869</v>
      </c>
      <c r="H98" s="7">
        <v>102708.81907119488</v>
      </c>
      <c r="I98" s="7">
        <v>107744.28421469968</v>
      </c>
      <c r="J98" s="7">
        <v>113472.79261985807</v>
      </c>
      <c r="K98" s="90">
        <v>120041.44679593126</v>
      </c>
      <c r="L98" s="90">
        <v>127642.27159379858</v>
      </c>
      <c r="M98" s="90">
        <v>136530.7770582854</v>
      </c>
      <c r="N98" s="90">
        <v>147054.55525669354</v>
      </c>
      <c r="O98" s="90">
        <v>159698.86532442216</v>
      </c>
      <c r="P98" s="90">
        <v>175162.27458693262</v>
      </c>
    </row>
    <row r="99" spans="3:16" x14ac:dyDescent="0.35">
      <c r="C99" s="43">
        <f>C100-0.2%</f>
        <v>0.1042</v>
      </c>
      <c r="D99" s="7">
        <v>83208.779355185892</v>
      </c>
      <c r="E99" s="7">
        <v>86049.068432947679</v>
      </c>
      <c r="F99" s="7">
        <v>89192.608423943384</v>
      </c>
      <c r="G99" s="7">
        <v>92686.753498827893</v>
      </c>
      <c r="H99" s="7">
        <v>96589.327129049372</v>
      </c>
      <c r="I99" s="7">
        <v>100971.68321062441</v>
      </c>
      <c r="J99" s="7">
        <v>105922.90798085739</v>
      </c>
      <c r="K99" s="90">
        <v>111555.69157238335</v>
      </c>
      <c r="L99" s="90">
        <v>118014.69810246292</v>
      </c>
      <c r="M99" s="90">
        <v>125488.76939266645</v>
      </c>
      <c r="N99" s="90">
        <v>134229.18012161576</v>
      </c>
      <c r="O99" s="90">
        <v>144577.76062978758</v>
      </c>
      <c r="P99" s="90">
        <v>157011.72634311311</v>
      </c>
    </row>
    <row r="100" spans="3:16" x14ac:dyDescent="0.35">
      <c r="C100" s="43">
        <v>0.1062</v>
      </c>
      <c r="D100" s="7">
        <v>79267.733414299175</v>
      </c>
      <c r="E100" s="7">
        <v>81800.507811285919</v>
      </c>
      <c r="F100" s="7">
        <v>84593.015867031296</v>
      </c>
      <c r="G100" s="7">
        <v>87683.760667650291</v>
      </c>
      <c r="H100" s="7">
        <v>91119.31283978626</v>
      </c>
      <c r="I100" s="7">
        <v>94956.539081817304</v>
      </c>
      <c r="J100" s="7">
        <v>99265.612637225437</v>
      </c>
      <c r="K100" s="90">
        <v>104134.14568495323</v>
      </c>
      <c r="L100" s="90">
        <v>109672.96374068396</v>
      </c>
      <c r="M100" s="90">
        <v>116024.33725174041</v>
      </c>
      <c r="N100" s="90">
        <v>123373.98338979171</v>
      </c>
      <c r="O100" s="90">
        <v>131969.01914750176</v>
      </c>
      <c r="P100" s="90">
        <v>142145.61881363805</v>
      </c>
    </row>
    <row r="101" spans="3:16" x14ac:dyDescent="0.35">
      <c r="C101" s="43">
        <f>C100+0.2%</f>
        <v>0.1082</v>
      </c>
      <c r="D101" s="7">
        <v>75660.760212120687</v>
      </c>
      <c r="E101" s="7">
        <v>77927.050117727107</v>
      </c>
      <c r="F101" s="7">
        <v>80417.208345416657</v>
      </c>
      <c r="G101" s="7">
        <v>83162.813805752667</v>
      </c>
      <c r="H101" s="7">
        <v>86201.733635252778</v>
      </c>
      <c r="I101" s="7">
        <v>89579.769261390335</v>
      </c>
      <c r="J101" s="7">
        <v>93352.848125815261</v>
      </c>
      <c r="K101" s="90">
        <v>97589.984434628437</v>
      </c>
      <c r="L101" s="90">
        <v>102377.34329526845</v>
      </c>
      <c r="M101" s="90">
        <v>107823.91974370778</v>
      </c>
      <c r="N101" s="90">
        <v>114069.63438051993</v>
      </c>
      <c r="O101" s="90">
        <v>121297.13693350094</v>
      </c>
      <c r="P101" s="90">
        <v>129749.46282828748</v>
      </c>
    </row>
    <row r="102" spans="3:16" x14ac:dyDescent="0.35">
      <c r="C102" s="43">
        <f t="shared" ref="C102:C105" si="53">C101+0.2%</f>
        <v>0.11020000000000001</v>
      </c>
      <c r="D102" s="7">
        <v>72347.844783324777</v>
      </c>
      <c r="E102" s="7">
        <v>74381.913213347128</v>
      </c>
      <c r="F102" s="7">
        <v>76610.056881639553</v>
      </c>
      <c r="G102" s="7">
        <v>79058.381426774169</v>
      </c>
      <c r="H102" s="7">
        <v>81757.94510700964</v>
      </c>
      <c r="I102" s="7">
        <v>84745.990731123195</v>
      </c>
      <c r="J102" s="7">
        <v>88067.564584466076</v>
      </c>
      <c r="K102" s="7">
        <v>91777.672016877288</v>
      </c>
      <c r="L102" s="7">
        <v>95944.189378568452</v>
      </c>
      <c r="M102" s="7">
        <v>100651.86115089484</v>
      </c>
      <c r="N102" s="7">
        <v>106007.88534246026</v>
      </c>
      <c r="O102" s="7">
        <v>112149.87565104448</v>
      </c>
      <c r="P102" s="7">
        <v>119257.47041885914</v>
      </c>
    </row>
    <row r="103" spans="3:16" x14ac:dyDescent="0.35">
      <c r="C103" s="43">
        <f t="shared" si="53"/>
        <v>0.11220000000000001</v>
      </c>
      <c r="D103" s="7">
        <v>69295.105925353419</v>
      </c>
      <c r="E103" s="7">
        <v>71125.771519409667</v>
      </c>
      <c r="F103" s="7">
        <v>73125.58381671524</v>
      </c>
      <c r="G103" s="7">
        <v>75316.280813771242</v>
      </c>
      <c r="H103" s="7">
        <v>77723.538503939228</v>
      </c>
      <c r="I103" s="7">
        <v>80377.903990953113</v>
      </c>
      <c r="J103" s="7">
        <v>83316.007144961826</v>
      </c>
      <c r="K103" s="7">
        <v>86582.152884726427</v>
      </c>
      <c r="L103" s="7">
        <v>90230.441289432478</v>
      </c>
      <c r="M103" s="7">
        <v>94327.631610691184</v>
      </c>
      <c r="N103" s="7">
        <v>98957.073619568007</v>
      </c>
      <c r="O103" s="7">
        <v>104224.20107968035</v>
      </c>
      <c r="P103" s="7">
        <v>110264.36286991482</v>
      </c>
    </row>
    <row r="104" spans="3:16" x14ac:dyDescent="0.35">
      <c r="C104" s="43">
        <f t="shared" si="53"/>
        <v>0.11420000000000001</v>
      </c>
      <c r="D104" s="7">
        <v>66473.664489023213</v>
      </c>
      <c r="E104" s="7">
        <v>68125.327538143305</v>
      </c>
      <c r="F104" s="7">
        <v>69925.139818291762</v>
      </c>
      <c r="G104" s="7">
        <v>71891.323482035776</v>
      </c>
      <c r="H104" s="7">
        <v>74045.259399700924</v>
      </c>
      <c r="I104" s="7">
        <v>76412.201743039797</v>
      </c>
      <c r="J104" s="7">
        <v>79022.195769175989</v>
      </c>
      <c r="K104" s="7">
        <v>81911.269571064782</v>
      </c>
      <c r="L104" s="7">
        <v>85123.000201022311</v>
      </c>
      <c r="M104" s="7">
        <v>88710.598952462387</v>
      </c>
      <c r="N104" s="7">
        <v>92739.728320718335</v>
      </c>
      <c r="O104" s="7">
        <v>97292.368764263403</v>
      </c>
      <c r="P104" s="7">
        <v>102472.2219287381</v>
      </c>
    </row>
    <row r="105" spans="3:16" x14ac:dyDescent="0.35">
      <c r="C105" s="43">
        <f t="shared" si="53"/>
        <v>0.11620000000000001</v>
      </c>
      <c r="D105" s="7">
        <v>63858.753315594186</v>
      </c>
      <c r="E105" s="7">
        <v>65352.199642319312</v>
      </c>
      <c r="F105" s="7">
        <v>66975.999967739815</v>
      </c>
      <c r="G105" s="7">
        <v>68745.523479845142</v>
      </c>
      <c r="H105" s="7">
        <v>70678.693497290675</v>
      </c>
      <c r="I105" s="7">
        <v>72796.540255677726</v>
      </c>
      <c r="J105" s="7">
        <v>75123.903772634221</v>
      </c>
      <c r="K105" s="7">
        <v>77690.336580848423</v>
      </c>
      <c r="L105" s="7">
        <v>80531.275934787744</v>
      </c>
      <c r="M105" s="7">
        <v>83689.584251066335</v>
      </c>
      <c r="N105" s="7">
        <v>87217.600193241597</v>
      </c>
      <c r="O105" s="7">
        <v>91179.90943674327</v>
      </c>
      <c r="P105" s="7">
        <v>95657.148018314911</v>
      </c>
    </row>
  </sheetData>
  <mergeCells count="7">
    <mergeCell ref="B92:XFD92"/>
    <mergeCell ref="B74:XFD74"/>
    <mergeCell ref="B5:XFD5"/>
    <mergeCell ref="B14:XFD14"/>
    <mergeCell ref="B21:XFD21"/>
    <mergeCell ref="B63:XFD63"/>
    <mergeCell ref="B29:XFD29"/>
  </mergeCells>
  <dataValidations count="2">
    <dataValidation type="list" allowBlank="1" showInputMessage="1" sqref="C17" xr:uid="{D0281D6A-51B9-41B9-87A0-F987D7D84E68}">
      <formula1>"1,2,3"</formula1>
    </dataValidation>
    <dataValidation allowBlank="1" showInputMessage="1" sqref="C18:C19" xr:uid="{AC47C0DE-04F5-44C4-8776-C60F16019492}"/>
  </dataValidations>
  <pageMargins left="0.7" right="0.7" top="0.75" bottom="0.75" header="0.3" footer="0.3"/>
  <pageSetup scale="32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16A4-6A73-4D21-80ED-D6FCB07B3CCC}">
  <dimension ref="A2:G25"/>
  <sheetViews>
    <sheetView workbookViewId="0">
      <selection activeCell="E27" sqref="E27"/>
    </sheetView>
  </sheetViews>
  <sheetFormatPr defaultRowHeight="14.5" x14ac:dyDescent="0.35"/>
  <cols>
    <col min="1" max="1" width="2.6328125" customWidth="1"/>
    <col min="2" max="2" width="18.54296875" customWidth="1"/>
    <col min="3" max="3" width="17.81640625" bestFit="1" customWidth="1"/>
    <col min="4" max="4" width="22.90625" customWidth="1"/>
    <col min="6" max="6" width="11.453125" bestFit="1" customWidth="1"/>
    <col min="7" max="7" width="9.81640625" bestFit="1" customWidth="1"/>
  </cols>
  <sheetData>
    <row r="2" spans="1:7" s="5" customFormat="1" ht="21.5" thickBot="1" x14ac:dyDescent="0.55000000000000004">
      <c r="A2"/>
      <c r="B2" s="8" t="s">
        <v>141</v>
      </c>
    </row>
    <row r="4" spans="1:7" x14ac:dyDescent="0.35">
      <c r="B4" t="s">
        <v>142</v>
      </c>
    </row>
    <row r="5" spans="1:7" x14ac:dyDescent="0.35">
      <c r="B5" t="s">
        <v>143</v>
      </c>
    </row>
    <row r="6" spans="1:7" x14ac:dyDescent="0.35">
      <c r="B6" t="s">
        <v>144</v>
      </c>
    </row>
    <row r="7" spans="1:7" x14ac:dyDescent="0.35">
      <c r="B7" t="s">
        <v>145</v>
      </c>
    </row>
    <row r="10" spans="1:7" ht="15" thickBot="1" x14ac:dyDescent="0.4">
      <c r="B10" s="25" t="s">
        <v>160</v>
      </c>
      <c r="C10" s="28" t="s">
        <v>161</v>
      </c>
      <c r="D10" s="29" t="s">
        <v>162</v>
      </c>
    </row>
    <row r="11" spans="1:7" x14ac:dyDescent="0.35">
      <c r="B11" t="s">
        <v>154</v>
      </c>
      <c r="C11" s="74">
        <f>121972</f>
        <v>121972</v>
      </c>
      <c r="D11" t="s">
        <v>163</v>
      </c>
    </row>
    <row r="12" spans="1:7" ht="29" x14ac:dyDescent="0.35">
      <c r="B12" s="31" t="s">
        <v>146</v>
      </c>
      <c r="C12" s="97">
        <f>27300+5986</f>
        <v>33286</v>
      </c>
      <c r="D12" s="30" t="s">
        <v>164</v>
      </c>
      <c r="G12" s="26"/>
    </row>
    <row r="13" spans="1:7" x14ac:dyDescent="0.35">
      <c r="B13" t="s">
        <v>147</v>
      </c>
      <c r="C13" s="74">
        <f>SUM(C11:C12)</f>
        <v>155258</v>
      </c>
      <c r="D13" t="s">
        <v>163</v>
      </c>
    </row>
    <row r="14" spans="1:7" x14ac:dyDescent="0.35">
      <c r="B14" t="s">
        <v>155</v>
      </c>
      <c r="C14" s="10">
        <f>C11/SUM(C11:C12)</f>
        <v>0.78560847106107257</v>
      </c>
      <c r="D14" t="s">
        <v>163</v>
      </c>
    </row>
    <row r="15" spans="1:7" x14ac:dyDescent="0.35">
      <c r="B15" t="s">
        <v>156</v>
      </c>
      <c r="C15" s="9">
        <f>C12/SUM(C11:C12)</f>
        <v>0.21439152893892746</v>
      </c>
      <c r="D15" t="s">
        <v>163</v>
      </c>
    </row>
    <row r="17" spans="2:4" ht="15" thickBot="1" x14ac:dyDescent="0.4">
      <c r="B17" s="5" t="s">
        <v>148</v>
      </c>
      <c r="C17" s="32">
        <f>(C18+(C19*C20))</f>
        <v>0.12427600000000001</v>
      </c>
    </row>
    <row r="18" spans="2:4" ht="29" x14ac:dyDescent="0.35">
      <c r="B18" t="s">
        <v>149</v>
      </c>
      <c r="C18" s="27">
        <v>4.0036000000000002E-2</v>
      </c>
      <c r="D18" s="30" t="s">
        <v>157</v>
      </c>
    </row>
    <row r="19" spans="2:4" x14ac:dyDescent="0.35">
      <c r="B19" t="s">
        <v>150</v>
      </c>
      <c r="C19">
        <v>1.08</v>
      </c>
      <c r="D19" s="30" t="s">
        <v>158</v>
      </c>
    </row>
    <row r="20" spans="2:4" ht="29" x14ac:dyDescent="0.35">
      <c r="B20" t="s">
        <v>151</v>
      </c>
      <c r="C20" s="27">
        <v>7.8E-2</v>
      </c>
      <c r="D20" s="30" t="s">
        <v>159</v>
      </c>
    </row>
    <row r="22" spans="2:4" x14ac:dyDescent="0.35">
      <c r="B22" t="s">
        <v>152</v>
      </c>
      <c r="C22" s="10">
        <v>0.05</v>
      </c>
      <c r="D22" s="30" t="s">
        <v>165</v>
      </c>
    </row>
    <row r="23" spans="2:4" x14ac:dyDescent="0.35">
      <c r="B23" t="s">
        <v>153</v>
      </c>
      <c r="C23" s="10">
        <v>0.8</v>
      </c>
      <c r="D23" s="30" t="s">
        <v>166</v>
      </c>
    </row>
    <row r="24" spans="2:4" ht="15" thickBot="1" x14ac:dyDescent="0.4"/>
    <row r="25" spans="2:4" ht="15" thickBot="1" x14ac:dyDescent="0.4">
      <c r="B25" s="33" t="s">
        <v>131</v>
      </c>
      <c r="C25" s="34">
        <f>C14*C17 + C15*C22*C23</f>
        <v>0.10620793950714297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1AB4-A8E3-4BBC-99E9-F7D4D7C459B4}">
  <dimension ref="A1:O31"/>
  <sheetViews>
    <sheetView showGridLines="0" zoomScale="62" zoomScaleNormal="130" workbookViewId="0">
      <selection activeCell="E33" sqref="E33"/>
    </sheetView>
  </sheetViews>
  <sheetFormatPr defaultRowHeight="14.5" x14ac:dyDescent="0.35"/>
  <cols>
    <col min="2" max="2" width="45.81640625" bestFit="1" customWidth="1"/>
    <col min="3" max="3" width="8.54296875" bestFit="1" customWidth="1"/>
    <col min="4" max="4" width="15.26953125" customWidth="1"/>
    <col min="5" max="5" width="21.6328125" bestFit="1" customWidth="1"/>
    <col min="6" max="6" width="23.453125" customWidth="1"/>
    <col min="8" max="8" width="19.08984375" bestFit="1" customWidth="1"/>
    <col min="9" max="9" width="17.54296875" bestFit="1" customWidth="1"/>
    <col min="10" max="10" width="16.36328125" bestFit="1" customWidth="1"/>
    <col min="12" max="12" width="12" bestFit="1" customWidth="1"/>
    <col min="13" max="13" width="10.7265625" bestFit="1" customWidth="1"/>
    <col min="14" max="14" width="12.1796875" bestFit="1" customWidth="1"/>
  </cols>
  <sheetData>
    <row r="1" spans="1:15" ht="23.5" x14ac:dyDescent="0.55000000000000004">
      <c r="B1" s="46" t="s">
        <v>170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spans="1:15" ht="15.5" x14ac:dyDescent="0.35">
      <c r="B3" s="48"/>
      <c r="C3" s="48"/>
      <c r="D3" s="136" t="s">
        <v>171</v>
      </c>
      <c r="E3" s="137"/>
      <c r="F3" s="137"/>
      <c r="G3" s="48"/>
      <c r="H3" s="136" t="s">
        <v>172</v>
      </c>
      <c r="I3" s="137"/>
      <c r="J3" s="137"/>
      <c r="K3" s="48"/>
      <c r="L3" s="136" t="s">
        <v>173</v>
      </c>
      <c r="M3" s="137"/>
      <c r="N3" s="137"/>
    </row>
    <row r="4" spans="1:15" ht="31" x14ac:dyDescent="0.35">
      <c r="B4" s="51" t="s">
        <v>174</v>
      </c>
      <c r="C4" s="49" t="s">
        <v>175</v>
      </c>
      <c r="D4" s="50" t="s">
        <v>196</v>
      </c>
      <c r="E4" s="50" t="s">
        <v>194</v>
      </c>
      <c r="F4" s="50" t="s">
        <v>195</v>
      </c>
      <c r="G4" s="51"/>
      <c r="H4" s="51" t="s">
        <v>46</v>
      </c>
      <c r="I4" s="51" t="s">
        <v>177</v>
      </c>
      <c r="J4" s="51" t="s">
        <v>178</v>
      </c>
      <c r="K4" s="51"/>
      <c r="L4" s="51" t="s">
        <v>179</v>
      </c>
      <c r="M4" s="51" t="s">
        <v>180</v>
      </c>
      <c r="N4" s="51" t="s">
        <v>193</v>
      </c>
    </row>
    <row r="5" spans="1:15" ht="15.5" x14ac:dyDescent="0.35">
      <c r="B5" s="63" t="s">
        <v>183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</row>
    <row r="6" spans="1:15" s="65" customFormat="1" x14ac:dyDescent="0.35">
      <c r="A6"/>
      <c r="B6" t="s">
        <v>181</v>
      </c>
      <c r="C6" s="18" t="s">
        <v>188</v>
      </c>
      <c r="D6" s="7">
        <v>147000</v>
      </c>
      <c r="E6" s="7">
        <v>25034</v>
      </c>
      <c r="F6" s="15">
        <v>27.86</v>
      </c>
      <c r="G6"/>
      <c r="H6" s="7">
        <f>40241629282059</f>
        <v>40241629282059</v>
      </c>
      <c r="I6" s="7">
        <v>1098828869000</v>
      </c>
      <c r="J6" s="7">
        <v>317516265000</v>
      </c>
      <c r="K6"/>
      <c r="L6">
        <v>0.59</v>
      </c>
      <c r="M6">
        <v>16.25</v>
      </c>
      <c r="N6">
        <v>26.95</v>
      </c>
    </row>
    <row r="7" spans="1:15" ht="15.5" x14ac:dyDescent="0.35">
      <c r="B7" s="55" t="s">
        <v>182</v>
      </c>
      <c r="C7" s="56" t="s">
        <v>189</v>
      </c>
      <c r="D7" s="66">
        <v>43500</v>
      </c>
      <c r="E7" s="7">
        <v>9620</v>
      </c>
      <c r="F7" s="15">
        <v>12.29</v>
      </c>
      <c r="G7" s="58"/>
      <c r="H7" s="7">
        <v>22078832142000</v>
      </c>
      <c r="I7" s="7">
        <v>720257904000</v>
      </c>
      <c r="J7" s="7">
        <v>443877018000</v>
      </c>
      <c r="K7" s="59"/>
      <c r="L7">
        <v>0.5</v>
      </c>
      <c r="M7">
        <v>14.4</v>
      </c>
      <c r="N7">
        <v>14.88</v>
      </c>
    </row>
    <row r="8" spans="1:15" ht="15.5" x14ac:dyDescent="0.35">
      <c r="B8" s="64" t="s">
        <v>184</v>
      </c>
      <c r="C8" s="56"/>
      <c r="D8" s="57"/>
      <c r="E8" s="58"/>
      <c r="F8" s="59"/>
      <c r="G8" s="58"/>
      <c r="H8" s="58"/>
      <c r="I8" s="58"/>
      <c r="J8" s="58"/>
      <c r="K8" s="59"/>
      <c r="L8" s="60"/>
      <c r="M8" s="60"/>
      <c r="N8" s="60"/>
    </row>
    <row r="9" spans="1:15" ht="15.5" x14ac:dyDescent="0.35">
      <c r="B9" s="55" t="s">
        <v>185</v>
      </c>
      <c r="C9" s="56" t="s">
        <v>190</v>
      </c>
      <c r="D9" s="7">
        <v>78800</v>
      </c>
      <c r="E9" s="7">
        <v>114230</v>
      </c>
      <c r="F9" s="7">
        <v>159.03</v>
      </c>
      <c r="G9" s="7"/>
      <c r="H9" s="7">
        <v>83177720000</v>
      </c>
      <c r="I9" s="7">
        <v>16562464000</v>
      </c>
      <c r="J9" s="7">
        <v>1999059000</v>
      </c>
      <c r="K9" s="7"/>
      <c r="L9" s="15">
        <v>1.96</v>
      </c>
      <c r="M9" s="15">
        <v>9.2799999999999994</v>
      </c>
      <c r="N9" s="15">
        <v>24.1</v>
      </c>
      <c r="O9" s="68"/>
    </row>
    <row r="10" spans="1:15" ht="15.5" x14ac:dyDescent="0.35">
      <c r="B10" s="55" t="s">
        <v>186</v>
      </c>
      <c r="C10" s="56" t="s">
        <v>191</v>
      </c>
      <c r="D10" s="7"/>
      <c r="E10" s="7"/>
      <c r="F10" s="7"/>
      <c r="G10" s="7"/>
      <c r="H10" s="7"/>
      <c r="I10" s="7"/>
      <c r="J10" s="7"/>
      <c r="K10" s="7"/>
      <c r="L10" s="15">
        <v>1.25</v>
      </c>
      <c r="M10" s="15">
        <v>19.37</v>
      </c>
      <c r="N10" s="15">
        <v>33.56</v>
      </c>
    </row>
    <row r="11" spans="1:15" ht="15.5" x14ac:dyDescent="0.35">
      <c r="B11" s="55" t="s">
        <v>187</v>
      </c>
      <c r="C11" s="56" t="s">
        <v>192</v>
      </c>
      <c r="D11" s="7"/>
      <c r="E11" s="7"/>
      <c r="F11" s="7"/>
      <c r="G11" s="7"/>
      <c r="H11" s="7"/>
      <c r="I11" s="7"/>
      <c r="J11" s="7"/>
      <c r="K11" s="7"/>
      <c r="L11" s="15">
        <v>1.94</v>
      </c>
      <c r="M11" s="15">
        <v>15.1</v>
      </c>
      <c r="N11" s="15">
        <v>17.989999999999998</v>
      </c>
    </row>
    <row r="12" spans="1:15" ht="15.5" x14ac:dyDescent="0.35">
      <c r="E12" s="59"/>
    </row>
    <row r="14" spans="1:15" ht="15.5" x14ac:dyDescent="0.35">
      <c r="B14" s="48" t="s">
        <v>197</v>
      </c>
      <c r="C14" s="61"/>
      <c r="D14" s="51"/>
    </row>
    <row r="15" spans="1:15" ht="15.5" x14ac:dyDescent="0.35">
      <c r="B15" s="55" t="s">
        <v>199</v>
      </c>
      <c r="D15" s="67">
        <v>161.52000000000001</v>
      </c>
      <c r="E15" s="59"/>
      <c r="F15" s="67"/>
    </row>
    <row r="16" spans="1:15" ht="15.5" x14ac:dyDescent="0.35">
      <c r="B16" s="55" t="s">
        <v>179</v>
      </c>
      <c r="D16" s="67">
        <f>'DCF Model'!P85/'DCF Model'!K30</f>
        <v>1.0425420326119661</v>
      </c>
      <c r="E16" s="59"/>
      <c r="F16" s="59"/>
    </row>
    <row r="17" spans="2:6" ht="15.5" x14ac:dyDescent="0.35">
      <c r="B17" s="55" t="s">
        <v>180</v>
      </c>
      <c r="D17" s="67">
        <f>'DCF Model'!P88/('DCF Model'!K42+'DCF Model'!K77)</f>
        <v>13.776917030089793</v>
      </c>
      <c r="E17" s="59"/>
      <c r="F17" s="59"/>
    </row>
    <row r="18" spans="2:6" ht="15.5" x14ac:dyDescent="0.35">
      <c r="B18" s="55" t="s">
        <v>176</v>
      </c>
      <c r="D18" s="37">
        <v>1461484209</v>
      </c>
      <c r="E18" s="59"/>
      <c r="F18" s="59"/>
    </row>
    <row r="19" spans="2:6" ht="15.5" x14ac:dyDescent="0.35">
      <c r="B19" s="55" t="s">
        <v>241</v>
      </c>
      <c r="D19" s="142">
        <f>'DCF Model'!P89/('DCF Model'!L60/'DCF Model'!J89)</f>
        <v>34.501134744267752</v>
      </c>
      <c r="E19" s="59"/>
      <c r="F19" s="59"/>
    </row>
    <row r="20" spans="2:6" ht="15.5" x14ac:dyDescent="0.35">
      <c r="B20" s="62" t="s">
        <v>198</v>
      </c>
      <c r="C20" s="62"/>
      <c r="D20" s="70">
        <f>'DCF Model'!C10</f>
        <v>91098.756568828903</v>
      </c>
      <c r="E20" s="69"/>
      <c r="F20" s="69"/>
    </row>
    <row r="21" spans="2:6" ht="15.5" x14ac:dyDescent="0.35">
      <c r="B21" s="55" t="s">
        <v>200</v>
      </c>
      <c r="D21" s="7">
        <f>'DCF Model'!C9</f>
        <v>80000</v>
      </c>
    </row>
    <row r="22" spans="2:6" ht="15" thickBot="1" x14ac:dyDescent="0.4">
      <c r="D22" s="15"/>
    </row>
    <row r="23" spans="2:6" ht="15" thickBot="1" x14ac:dyDescent="0.4">
      <c r="B23" s="33" t="s">
        <v>201</v>
      </c>
      <c r="C23" s="71"/>
      <c r="D23" s="72"/>
    </row>
    <row r="26" spans="2:6" ht="15.5" x14ac:dyDescent="0.35">
      <c r="B26" s="48" t="s">
        <v>239</v>
      </c>
      <c r="C26" s="61"/>
      <c r="D26" s="51"/>
    </row>
    <row r="27" spans="2:6" ht="15.5" x14ac:dyDescent="0.35">
      <c r="B27" s="55" t="s">
        <v>199</v>
      </c>
      <c r="D27" s="67">
        <v>119.75</v>
      </c>
    </row>
    <row r="28" spans="2:6" ht="15.5" x14ac:dyDescent="0.35">
      <c r="B28" s="55" t="s">
        <v>179</v>
      </c>
      <c r="D28" s="67">
        <v>0.74</v>
      </c>
    </row>
    <row r="29" spans="2:6" ht="15.5" x14ac:dyDescent="0.35">
      <c r="B29" s="55" t="s">
        <v>180</v>
      </c>
      <c r="D29" s="67">
        <v>6.86</v>
      </c>
    </row>
    <row r="30" spans="2:6" ht="15.5" x14ac:dyDescent="0.35">
      <c r="B30" s="55" t="s">
        <v>176</v>
      </c>
      <c r="D30" s="37">
        <v>1461484209</v>
      </c>
    </row>
    <row r="31" spans="2:6" ht="15.5" x14ac:dyDescent="0.35">
      <c r="B31" s="55" t="s">
        <v>193</v>
      </c>
      <c r="D31" s="15">
        <v>16.34</v>
      </c>
    </row>
  </sheetData>
  <mergeCells count="3">
    <mergeCell ref="D3:F3"/>
    <mergeCell ref="H3:J3"/>
    <mergeCell ref="L3: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Executive Summary</vt:lpstr>
      <vt:lpstr>BS</vt:lpstr>
      <vt:lpstr>IS</vt:lpstr>
      <vt:lpstr>CF</vt:lpstr>
      <vt:lpstr>Breakdown by Segments</vt:lpstr>
      <vt:lpstr>DCF Model</vt:lpstr>
      <vt:lpstr>WACC</vt:lpstr>
      <vt:lpstr>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Anh</cp:lastModifiedBy>
  <cp:lastPrinted>2025-11-22T10:42:24Z</cp:lastPrinted>
  <dcterms:created xsi:type="dcterms:W3CDTF">2025-10-26T16:53:33Z</dcterms:created>
  <dcterms:modified xsi:type="dcterms:W3CDTF">2025-11-22T11:41:07Z</dcterms:modified>
</cp:coreProperties>
</file>